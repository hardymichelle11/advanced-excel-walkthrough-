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ta" sheetId="2" state="visible" r:id="rId4"/>
    <sheet name="1 Charts" sheetId="3" state="visible" r:id="rId5"/>
    <sheet name="2 Dates" sheetId="4" state="visible" r:id="rId6"/>
    <sheet name="3 PivotTables" sheetId="5" state="visible" r:id="rId7"/>
    <sheet name="4 External Data" sheetId="6" state="visible" r:id="rId8"/>
    <sheet name="5 Sort Filter" sheetId="7" state="visible" r:id="rId9"/>
    <sheet name="6 Lookup Query" sheetId="8" state="visible" r:id="rId10"/>
    <sheet name="7 Multi-Sheet" sheetId="9" state="visible" r:id="rId11"/>
    <sheet name="Jan" sheetId="10" state="visible" r:id="rId12"/>
    <sheet name="Feb" sheetId="11" state="visible" r:id="rId13"/>
    <sheet name="Mar" sheetId="12" state="visible" r:id="rId14"/>
    <sheet name="8 Auditing" sheetId="13" state="visible" r:id="rId15"/>
    <sheet name="9 Input Control" sheetId="14" state="visible" r:id="rId16"/>
    <sheet name="10 Financial" sheetId="15" state="visible" r:id="rId17"/>
    <sheet name="11 Solver Linear" sheetId="16" state="visible" r:id="rId18"/>
    <sheet name="12 Solver Nonlinear" sheetId="17" state="visible" r:id="rId19"/>
    <sheet name="13 Data Tables" sheetId="18" state="visible" r:id="rId20"/>
    <sheet name="14 Scenarios" sheetId="19" state="visible" r:id="rId21"/>
    <sheet name="15 Macros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<sst xmlns="http://schemas.openxmlformats.org/spreadsheetml/2006/main" count="815" uniqueCount="568">
  <si>
    <t xml:space="preserve">Advanced Excel Practice Workbook</t>
  </si>
  <si>
    <t xml:space="preserve">Companion to the Advanced Excel Walkthrough Guide. Each tab matches a guide topic with the same numbers.</t>
  </si>
  <si>
    <t xml:space="preserve">Colour legend</t>
  </si>
  <si>
    <t xml:space="preserve">Blue text on pale yellow = an input you can change.</t>
  </si>
  <si>
    <t xml:space="preserve">Black text = a formula. Green text = a formula that pulls from another sheet.</t>
  </si>
  <si>
    <t xml:space="preserve">Bright yellow cells = empty on purpose: you build that part (the guide shows how).</t>
  </si>
  <si>
    <t xml:space="preserve">Pale green cells = answer checks, so you can confirm your result.</t>
  </si>
  <si>
    <t xml:space="preserve">Brown text = a formula shown as text for you to read or type yourself.</t>
  </si>
  <si>
    <t xml:space="preserve">Sheet</t>
  </si>
  <si>
    <t xml:space="preserve">Guide topic</t>
  </si>
  <si>
    <t xml:space="preserve">What you practise</t>
  </si>
  <si>
    <t xml:space="preserve">Data</t>
  </si>
  <si>
    <t xml:space="preserve">Shared sales data</t>
  </si>
  <si>
    <t xml:space="preserve">20 orders used by most other sheets; price and category are looked up</t>
  </si>
  <si>
    <t xml:space="preserve">1 Charts</t>
  </si>
  <si>
    <t xml:space="preserve">1. Charting</t>
  </si>
  <si>
    <t xml:space="preserve">Column, pie and combo charts built from summary formulas</t>
  </si>
  <si>
    <t xml:space="preserve">2 Dates</t>
  </si>
  <si>
    <t xml:space="preserve">2. Date and time functions</t>
  </si>
  <si>
    <t xml:space="preserve">TODAY, DATE, EDATE, EOMONTH, NETWORKDAYS, DATEDIF, time maths</t>
  </si>
  <si>
    <t xml:space="preserve">3 PivotTables</t>
  </si>
  <si>
    <t xml:space="preserve">3. PivotTables</t>
  </si>
  <si>
    <t xml:space="preserve">Build a PivotTable from Data and check it against SUMIFS</t>
  </si>
  <si>
    <t xml:space="preserve">4 External Data</t>
  </si>
  <si>
    <t xml:space="preserve">4. Internal and external data</t>
  </si>
  <si>
    <t xml:space="preserve">Clean imported text, import the CSV, Tables and structured references</t>
  </si>
  <si>
    <t xml:space="preserve">5 Sort Filter</t>
  </si>
  <si>
    <t xml:space="preserve">5. Sorting and filtering</t>
  </si>
  <si>
    <t xml:space="preserve">Multi-level sort, AutoFilter, Advanced Filter with a criteria range</t>
  </si>
  <si>
    <t xml:space="preserve">6 Lookup Query</t>
  </si>
  <si>
    <t xml:space="preserve">6. Extracting and querying</t>
  </si>
  <si>
    <t xml:space="preserve">VLOOKUP, INDEX/MATCH, two-way lookup, DSUM and friends</t>
  </si>
  <si>
    <t xml:space="preserve">7 Multi-Sheet</t>
  </si>
  <si>
    <t xml:space="preserve">7. Multiple worksheets and workbooks</t>
  </si>
  <si>
    <t xml:space="preserve">3-D references across Jan, Feb, Mar and external link syntax</t>
  </si>
  <si>
    <t xml:space="preserve">8 Auditing</t>
  </si>
  <si>
    <t xml:space="preserve">8. Formula auditing</t>
  </si>
  <si>
    <t xml:space="preserve">Trace arrows, error types and fixes, a bug hunt</t>
  </si>
  <si>
    <t xml:space="preserve">9 Input Control</t>
  </si>
  <si>
    <t xml:space="preserve">9. Controlling user input</t>
  </si>
  <si>
    <t xml:space="preserve">Data validation rules, input messages, unlocked cells, protection</t>
  </si>
  <si>
    <t xml:space="preserve">10 Financial</t>
  </si>
  <si>
    <t xml:space="preserve">10. Financial functions</t>
  </si>
  <si>
    <t xml:space="preserve">PMT, IPMT, PPMT, FV, PV, NPV, IRR, RATE, NPER, SLN, amortization</t>
  </si>
  <si>
    <t xml:space="preserve">11 Solver Linear</t>
  </si>
  <si>
    <t xml:space="preserve">11. Solver: linear optimization</t>
  </si>
  <si>
    <t xml:space="preserve">Product-mix model ready for Simplex LP</t>
  </si>
  <si>
    <t xml:space="preserve">12 Solver Nonlinear</t>
  </si>
  <si>
    <t xml:space="preserve">12. Solver: nonlinear optimization</t>
  </si>
  <si>
    <t xml:space="preserve">Price-setting model ready for GRG Nonlinear</t>
  </si>
  <si>
    <t xml:space="preserve">13 Data Tables</t>
  </si>
  <si>
    <t xml:space="preserve">13. One- and two-variable data tables</t>
  </si>
  <si>
    <t xml:space="preserve">Loan payment sensitivity with answer checks</t>
  </si>
  <si>
    <t xml:space="preserve">14 Scenarios</t>
  </si>
  <si>
    <t xml:space="preserve">14. Scenario management</t>
  </si>
  <si>
    <t xml:space="preserve">Best / Base / Worst scenarios and Goal Seek</t>
  </si>
  <si>
    <t xml:space="preserve">15 Macros</t>
  </si>
  <si>
    <t xml:space="preserve">15. Macros</t>
  </si>
  <si>
    <t xml:space="preserve">Record a macro and paste three short VBA procedures</t>
  </si>
  <si>
    <t xml:space="preserve">Notes</t>
  </si>
  <si>
    <t xml:space="preserve">Example data is invented for teaching (Jan-May 2026 orders for a small office-supply seller).</t>
  </si>
  <si>
    <t xml:space="preserve">Macros cannot live in an .xlsx file. On the Macros tab you save a copy as .xlsm before recording.</t>
  </si>
  <si>
    <t xml:space="preserve">PivotTables, data tables, scenarios and Solver runs are left for you to perform; every one has an answer check.</t>
  </si>
  <si>
    <t xml:space="preserve">Sales data (shared by the other sheets)</t>
  </si>
  <si>
    <t xml:space="preserve">An Excel Table named SalesData. Category and Unit Price are looked up from the product list on the right.</t>
  </si>
  <si>
    <t xml:space="preserve">Date</t>
  </si>
  <si>
    <t xml:space="preserve">Region</t>
  </si>
  <si>
    <t xml:space="preserve">Rep</t>
  </si>
  <si>
    <t xml:space="preserve">Product</t>
  </si>
  <si>
    <t xml:space="preserve">Category</t>
  </si>
  <si>
    <t xml:space="preserve">Units</t>
  </si>
  <si>
    <t xml:space="preserve">Unit Price</t>
  </si>
  <si>
    <t xml:space="preserve">Revenue</t>
  </si>
  <si>
    <t xml:space="preserve">East</t>
  </si>
  <si>
    <t xml:space="preserve">Avery</t>
  </si>
  <si>
    <t xml:space="preserve">Laptop</t>
  </si>
  <si>
    <t xml:space="preserve">Hardware</t>
  </si>
  <si>
    <t xml:space="preserve">West</t>
  </si>
  <si>
    <t xml:space="preserve">Blake</t>
  </si>
  <si>
    <t xml:space="preserve">Monitor</t>
  </si>
  <si>
    <t xml:space="preserve">North</t>
  </si>
  <si>
    <t xml:space="preserve">Casey</t>
  </si>
  <si>
    <t xml:space="preserve">Keyboard</t>
  </si>
  <si>
    <t xml:space="preserve">Accessories</t>
  </si>
  <si>
    <t xml:space="preserve">South</t>
  </si>
  <si>
    <t xml:space="preserve">Devon</t>
  </si>
  <si>
    <t xml:space="preserve">Mouse</t>
  </si>
  <si>
    <t xml:space="preserve">License</t>
  </si>
  <si>
    <t xml:space="preserve">Software</t>
  </si>
  <si>
    <t xml:space="preserve">Product list: invented prices. Change one and every sheet updates.</t>
  </si>
  <si>
    <t xml:space="preserve">Total</t>
  </si>
  <si>
    <t xml:space="preserve">Guide topic 1. Charts read from the summary tables, which read from Data.</t>
  </si>
  <si>
    <t xml:space="preserve">Month start</t>
  </si>
  <si>
    <t xml:space="preserve">Label</t>
  </si>
  <si>
    <t xml:space="preserve">Share</t>
  </si>
  <si>
    <t xml:space="preserve">Try it</t>
  </si>
  <si>
    <t xml:space="preserve">1. Click the column chart, then Chart Design &gt; Add Chart Element &gt; Data Labels &gt; Outside End.</t>
  </si>
  <si>
    <t xml:space="preserve">2. Right-click the pie &gt; Format Data Labels &gt; tick Percentage.</t>
  </si>
  <si>
    <t xml:space="preserve">3. Rebuild the combo yourself: select B4:D9 &gt; Insert &gt; Recommended Charts &gt; All Charts &gt; Combo,</t>
  </si>
  <si>
    <t xml:space="preserve">   set Units to Line and tick Secondary Axis.</t>
  </si>
  <si>
    <t xml:space="preserve">4. Change a Units value on the Data sheet and watch all three charts move.</t>
  </si>
  <si>
    <t xml:space="preserve">Guide topic 2. Excel stores a date as a serial number (days since Jan 0, 1900) and a time as a fraction of a day.</t>
  </si>
  <si>
    <t xml:space="preserve">Start date</t>
  </si>
  <si>
    <t xml:space="preserve">End date</t>
  </si>
  <si>
    <t xml:space="preserve">Clock in</t>
  </si>
  <si>
    <t xml:space="preserve">Clock out</t>
  </si>
  <si>
    <t xml:space="preserve">What you want</t>
  </si>
  <si>
    <t xml:space="preserve">Formula</t>
  </si>
  <si>
    <t xml:space="preserve">Result</t>
  </si>
  <si>
    <t xml:space="preserve">How it works</t>
  </si>
  <si>
    <t xml:space="preserve">Today's date</t>
  </si>
  <si>
    <t xml:space="preserve">=TODAY()</t>
  </si>
  <si>
    <t xml:space="preserve">Volatile: updates every time the workbook recalculates</t>
  </si>
  <si>
    <t xml:space="preserve">Date and time right now</t>
  </si>
  <si>
    <t xml:space="preserve">=NOW()</t>
  </si>
  <si>
    <t xml:space="preserve">Volatile; the decimal part is the time of day</t>
  </si>
  <si>
    <t xml:space="preserve">Build a date from parts</t>
  </si>
  <si>
    <t xml:space="preserve">=DATE(2026,12,25)</t>
  </si>
  <si>
    <t xml:space="preserve">Year, month, day. Safer than typing text dates</t>
  </si>
  <si>
    <t xml:space="preserve">Year of start date</t>
  </si>
  <si>
    <t xml:space="preserve">=YEAR(B4)</t>
  </si>
  <si>
    <t xml:space="preserve">MONTH and DAY work the same way</t>
  </si>
  <si>
    <t xml:space="preserve">Month of start date</t>
  </si>
  <si>
    <t xml:space="preserve">=MONTH(B4)</t>
  </si>
  <si>
    <t xml:space="preserve">Day of start date</t>
  </si>
  <si>
    <t xml:space="preserve">=DAY(B4)</t>
  </si>
  <si>
    <t xml:space="preserve">Serial number behind the start date</t>
  </si>
  <si>
    <t xml:space="preserve">=B4</t>
  </si>
  <si>
    <t xml:space="preserve">Same cell, General format: the number Excel really stores</t>
  </si>
  <si>
    <t xml:space="preserve">Days between the two dates</t>
  </si>
  <si>
    <t xml:space="preserve">=B5-B4</t>
  </si>
  <si>
    <t xml:space="preserve">Dates are numbers, so you can subtract them</t>
  </si>
  <si>
    <t xml:space="preserve">Whole months between</t>
  </si>
  <si>
    <t xml:space="preserve">=DATEDIF(B4,B5,"m")</t>
  </si>
  <si>
    <t xml:space="preserve">Hidden function: no tooltip appears. "y" years, "d" days</t>
  </si>
  <si>
    <t xml:space="preserve">Fraction of a year between</t>
  </si>
  <si>
    <t xml:space="preserve">=YEARFRAC(B4,B5)</t>
  </si>
  <si>
    <t xml:space="preserve">Used for interest and prorating</t>
  </si>
  <si>
    <t xml:space="preserve">Same day 3 months later</t>
  </si>
  <si>
    <t xml:space="preserve">=EDATE(B4,3)</t>
  </si>
  <si>
    <t xml:space="preserve">Negative months go backwards</t>
  </si>
  <si>
    <t xml:space="preserve">Last day of the start month</t>
  </si>
  <si>
    <t xml:space="preserve">=EOMONTH(B4,0)</t>
  </si>
  <si>
    <t xml:space="preserve">0 = this month, 1 = next month</t>
  </si>
  <si>
    <t xml:space="preserve">Day-of-week number</t>
  </si>
  <si>
    <t xml:space="preserve">=WEEKDAY(B4)</t>
  </si>
  <si>
    <t xml:space="preserve">1 = Sunday ... 7 = Saturday by default</t>
  </si>
  <si>
    <t xml:space="preserve">Day name</t>
  </si>
  <si>
    <t xml:space="preserve">=TEXT(B4,"dddd")</t>
  </si>
  <si>
    <t xml:space="preserve">TEXT turns a date into formatted text</t>
  </si>
  <si>
    <t xml:space="preserve">Week number of the year</t>
  </si>
  <si>
    <t xml:space="preserve">=WEEKNUM(B4)</t>
  </si>
  <si>
    <t xml:space="preserve">Working days between (inclusive)</t>
  </si>
  <si>
    <t xml:space="preserve">=NETWORKDAYS(B4,B5)</t>
  </si>
  <si>
    <t xml:space="preserve">Skips Sat/Sun; add a holiday range as a 3rd argument</t>
  </si>
  <si>
    <t xml:space="preserve">Date 10 working days after start</t>
  </si>
  <si>
    <t xml:space="preserve">=WORKDAY(B4,10)</t>
  </si>
  <si>
    <t xml:space="preserve">Good for due dates</t>
  </si>
  <si>
    <t xml:space="preserve">Hours worked</t>
  </si>
  <si>
    <t xml:space="preserve">=(B7-B6)*24</t>
  </si>
  <si>
    <t xml:space="preserve">Time is a fraction of a day, so multiply by 24 for hours</t>
  </si>
  <si>
    <t xml:space="preserve">Hour of clock-in</t>
  </si>
  <si>
    <t xml:space="preserve">=HOUR(B6)</t>
  </si>
  <si>
    <t xml:space="preserve">MINUTE and SECOND work the same way</t>
  </si>
  <si>
    <t xml:space="preserve">Build a time from parts</t>
  </si>
  <si>
    <t xml:space="preserve">=TIME(14,30,0)</t>
  </si>
  <si>
    <t xml:space="preserve">Hour, minute, second</t>
  </si>
  <si>
    <t xml:space="preserve">Guide topic 3. Build the PivotTable yourself, then compare it with the answer checks below.</t>
  </si>
  <si>
    <t xml:space="preserve">Build it</t>
  </si>
  <si>
    <t xml:space="preserve">1. Go to the Data sheet and click any cell inside the table.</t>
  </si>
  <si>
    <t xml:space="preserve">2. Insert &gt; PivotTable &gt; New Worksheet &gt; OK.</t>
  </si>
  <si>
    <t xml:space="preserve">3. Drag Region to Rows, Category to Columns, Revenue to Values.</t>
  </si>
  <si>
    <t xml:space="preserve">4. Right-click a number &gt; Number Format &gt; Currency, 0 decimals.</t>
  </si>
  <si>
    <t xml:space="preserve">5. Your grand total should be the same as E21 below.</t>
  </si>
  <si>
    <t xml:space="preserve">6. Extra: drag Date to Rows above Region (Excel groups it by month); add a Slicer for Rep</t>
  </si>
  <si>
    <t xml:space="preserve">   (PivotTable Analyze &gt; Insert Slicer); double-click a number to drill down to its rows.</t>
  </si>
  <si>
    <t xml:space="preserve">7. Change a Units value on Data, then PivotTable Analyze &gt; Refresh. Pivots do not update on their own.</t>
  </si>
  <si>
    <t xml:space="preserve">Answer check 1: Sum of Revenue, Region by Category</t>
  </si>
  <si>
    <t xml:space="preserve">Grand Total</t>
  </si>
  <si>
    <t xml:space="preserve">Answer check 2: Rep in Rows; Revenue in Values three times (Count, Sum, Average)</t>
  </si>
  <si>
    <t xml:space="preserve">Orders</t>
  </si>
  <si>
    <t xml:space="preserve">Total revenue</t>
  </si>
  <si>
    <t xml:space="preserve">Average order</t>
  </si>
  <si>
    <t xml:space="preserve">4. Working with internal and external data</t>
  </si>
  <si>
    <t xml:space="preserve">Guide topic 4. Part A cleans text that arrived from another system. Part B brings in the companion CSV file.</t>
  </si>
  <si>
    <t xml:space="preserve">Part A: clean imported text with formulas</t>
  </si>
  <si>
    <t xml:space="preserve">Raw text as imported</t>
  </si>
  <si>
    <t xml:space="preserve">Name</t>
  </si>
  <si>
    <t xml:space="preserve">Amount</t>
  </si>
  <si>
    <t xml:space="preserve">Technique</t>
  </si>
  <si>
    <t xml:space="preserve">  avery|EAST|3,600 </t>
  </si>
  <si>
    <t xml:space="preserve">LEFT up to the first | then TRIM and PROPER</t>
  </si>
  <si>
    <t xml:space="preserve">BLAKE |west| 2,500</t>
  </si>
  <si>
    <t xml:space="preserve">MID between the two | characters</t>
  </si>
  <si>
    <t xml:space="preserve"> casey|North|1,000  </t>
  </si>
  <si>
    <t xml:space="preserve">MID after the second |, strip commas, VALUE to number</t>
  </si>
  <si>
    <t xml:space="preserve">devon |SOUTH|1,000</t>
  </si>
  <si>
    <t xml:space="preserve">  Avery|east| 1,800 </t>
  </si>
  <si>
    <t xml:space="preserve">Text to Columns</t>
  </si>
  <si>
    <t xml:space="preserve">Faster for one-off jobs: select A6:A10 &gt; Data &gt; Text to Columns &gt; Delimited &gt; Other: |  (work on a copy first).</t>
  </si>
  <si>
    <t xml:space="preserve">Part B: import the CSV as a refreshable query</t>
  </si>
  <si>
    <t xml:space="preserve">1. Save regional_targets.csv (sent with this workbook) to your computer.</t>
  </si>
  <si>
    <t xml:space="preserve">2. Data &gt; Get Data &gt; From File &gt; From Text/CSV &gt; choose the file.</t>
  </si>
  <si>
    <t xml:space="preserve">3. Check the preview (comma delimiter, Target detected as a number) &gt; Load.</t>
  </si>
  <si>
    <t xml:space="preserve">4. Excel adds a new sheet with a Table linked to the file. This is a query (Power Query).</t>
  </si>
  <si>
    <t xml:space="preserve">5. Open the CSV in Notepad, change East from 7000 to 7500, save, then Data &gt; Refresh All.</t>
  </si>
  <si>
    <t xml:space="preserve">6. Compare each target with Q1 revenue on the 7 Multi-Sheet tab.</t>
  </si>
  <si>
    <t xml:space="preserve">Part C: internal data in a Table (structured references)</t>
  </si>
  <si>
    <t xml:space="preserve">The Data sheet is already a Table named SalesData (Ctrl+T makes one). Type these in any empty cell:</t>
  </si>
  <si>
    <t xml:space="preserve">=SUM(SalesData[Revenue])</t>
  </si>
  <si>
    <t xml:space="preserve">Whole column by name; grows when rows are added</t>
  </si>
  <si>
    <t xml:space="preserve">=AVERAGE(SalesData[Units])</t>
  </si>
  <si>
    <t xml:space="preserve">No cell addresses to maintain</t>
  </si>
  <si>
    <t xml:space="preserve">=SUMIFS(SalesData[Revenue],SalesData[Region],"West")</t>
  </si>
  <si>
    <t xml:space="preserve">Readable criteria</t>
  </si>
  <si>
    <t xml:space="preserve">Guide topic 5. The list below is a static copy of Data so you can sort and filter freely without affecting other sheets.</t>
  </si>
  <si>
    <t xml:space="preserve">Practice list (values only)</t>
  </si>
  <si>
    <t xml:space="preserve">Criteria range (for Advanced Filter)</t>
  </si>
  <si>
    <t xml:space="preserve">&gt;2000</t>
  </si>
  <si>
    <t xml:space="preserve">Same row = AND. A second criteria row would mean OR.</t>
  </si>
  <si>
    <t xml:space="preserve">Advanced Filter steps</t>
  </si>
  <si>
    <t xml:space="preserve">1. Click any cell in A5:F25.</t>
  </si>
  <si>
    <t xml:space="preserve">2. Data &gt; Advanced.</t>
  </si>
  <si>
    <t xml:space="preserve">3. List range: $A$5:$F$25</t>
  </si>
  <si>
    <t xml:space="preserve">4. Criteria range: $H$5:$I$6</t>
  </si>
  <si>
    <t xml:space="preserve">5. Choose "Copy to another location", Copy to: $H$22</t>
  </si>
  <si>
    <t xml:space="preserve">6. OK. You should get the 3 rows shown in the check.</t>
  </si>
  <si>
    <t xml:space="preserve">Answer check: West orders over $2,000</t>
  </si>
  <si>
    <t xml:space="preserve">Advanced Filter output lands here</t>
  </si>
  <si>
    <t xml:space="preserve">Sort and AutoFilter</t>
  </si>
  <si>
    <t xml:space="preserve">Sort: Data &gt; Sort &gt; Sort by Region (A to Z) &gt; Add Level &gt; then by Revenue (Largest to Smallest).</t>
  </si>
  <si>
    <t xml:space="preserve">AutoFilter: Data &gt; Filter, then use the Product arrow &gt; untick Select All &gt; tick Laptop.</t>
  </si>
  <si>
    <t xml:space="preserve">Number filter: Revenue arrow &gt; Number Filters &gt; Top 10 &gt; change to Top 5.</t>
  </si>
  <si>
    <t xml:space="preserve">Clear: Data &gt; Clear. Remove arrows: Data &gt; Filter again.</t>
  </si>
  <si>
    <t xml:space="preserve">Dynamic array versions (Excel 365 / 2021)</t>
  </si>
  <si>
    <t xml:space="preserve">Type these in an empty area to the right. Each one spills into as many cells as it needs.</t>
  </si>
  <si>
    <t xml:space="preserve">=SORT(A6:F25,6,-1)</t>
  </si>
  <si>
    <t xml:space="preserve">Sort by the 6th column, descending</t>
  </si>
  <si>
    <t xml:space="preserve">=FILTER(A6:F25,(B6:B25="West")*(F6:F25&gt;2000))</t>
  </si>
  <si>
    <t xml:space="preserve">* means AND; the same 3 rows as the check</t>
  </si>
  <si>
    <t xml:space="preserve">=UNIQUE(B6:B25)</t>
  </si>
  <si>
    <t xml:space="preserve">The distinct regions</t>
  </si>
  <si>
    <t xml:space="preserve">6. Extracting and querying data</t>
  </si>
  <si>
    <t xml:space="preserve">Guide topic 6. Lookups pull one matching value; database functions summarise every row that meets a criteria range.</t>
  </si>
  <si>
    <t xml:space="preserve">Product to look up</t>
  </si>
  <si>
    <t xml:space="preserve">Commission tiers</t>
  </si>
  <si>
    <t xml:space="preserve">Price with VLOOKUP (exact)</t>
  </si>
  <si>
    <t xml:space="preserve">Revenue from</t>
  </si>
  <si>
    <t xml:space="preserve">Rate</t>
  </si>
  <si>
    <t xml:space="preserve">=VLOOKUP(B4,Data!$K$5:$M$9,3,FALSE)</t>
  </si>
  <si>
    <t xml:space="preserve">Category with INDEX/MATCH</t>
  </si>
  <si>
    <t xml:space="preserve">=INDEX(Data!$L$5:$L$9,MATCH(B4,Data!$K$5:$K$9,0))</t>
  </si>
  <si>
    <t xml:space="preserve">Price with XLOOKUP (type it yourself)</t>
  </si>
  <si>
    <t xml:space="preserve">=XLOOKUP(B4,Data!K5:K9,Data!M5:M9,"Not found")</t>
  </si>
  <si>
    <t xml:space="preserve">Invented tiers; must be sorted ascending</t>
  </si>
  <si>
    <t xml:space="preserve">Rep revenue</t>
  </si>
  <si>
    <t xml:space="preserve">Rate with VLOOKUP (approximate)</t>
  </si>
  <si>
    <t xml:space="preserve">=VLOOKUP(B10,$E$6:$F$8,2,TRUE)</t>
  </si>
  <si>
    <t xml:space="preserve">Commission</t>
  </si>
  <si>
    <t xml:space="preserve">Two-way lookup: INDEX/MATCH/MATCH</t>
  </si>
  <si>
    <t xml:space="preserve">=INDEX('3 PivotTables'!$B$17:$D$20,MATCH(B14,'3 PivotTables'!$A$17:$A$20,0),MATCH(B15,'3 PivotTables'!$B$16:$D$16,0))</t>
  </si>
  <si>
    <t xml:space="preserve">Database functions</t>
  </si>
  <si>
    <t xml:space="preserve">Criteria range</t>
  </si>
  <si>
    <t xml:space="preserve">Total revenue of matching orders</t>
  </si>
  <si>
    <t xml:space="preserve">=DSUM(Data!$A$4:$H$24,"Revenue",$E$20:$F$21)</t>
  </si>
  <si>
    <t xml:space="preserve">Number of matching orders</t>
  </si>
  <si>
    <t xml:space="preserve">=DCOUNT(Data!$A$4:$H$24,"Revenue",$E$20:$F$21)</t>
  </si>
  <si>
    <t xml:space="preserve">Average matching order</t>
  </si>
  <si>
    <t xml:space="preserve">=DAVERAGE(Data!$A$4:$H$24,"Revenue",$E$20:$F$21)</t>
  </si>
  <si>
    <t xml:space="preserve">Largest matching order</t>
  </si>
  <si>
    <t xml:space="preserve">=DMAX(Data!$A$4:$H$24,"Revenue",$E$20:$F$21)</t>
  </si>
  <si>
    <t xml:space="preserve">Same total with SUMIFS</t>
  </si>
  <si>
    <t xml:space="preserve">=SUMIFS(Data!$H$5:$H$24,Data!$B$5:$B$24,E21,Data!$H$5:$H$24,F21)</t>
  </si>
  <si>
    <t xml:space="preserve">Change B4 to Laptop: price becomes $900 and category stays Hardware.</t>
  </si>
  <si>
    <t xml:space="preserve">Change B10 to 10000: the rate jumps to 6% because approximate match takes the last tier that is not above the value.</t>
  </si>
  <si>
    <t xml:space="preserve">Change E21 to South: all four database results update at once.</t>
  </si>
  <si>
    <t xml:space="preserve">7. Models with multiple worksheets and workbooks</t>
  </si>
  <si>
    <t xml:space="preserve">Guide topic 7. Jan, Feb and Mar share one layout, so a 3-D reference can add the same cell across all three.</t>
  </si>
  <si>
    <t xml:space="preserve">Jan</t>
  </si>
  <si>
    <t xml:space="preserve">Feb</t>
  </si>
  <si>
    <t xml:space="preserve">Mar</t>
  </si>
  <si>
    <t xml:space="preserve">Q1 Revenue (3-D)</t>
  </si>
  <si>
    <t xml:space="preserve">Q1 Profit (3-D)</t>
  </si>
  <si>
    <t xml:space="preserve">Formulas used</t>
  </si>
  <si>
    <t xml:space="preserve">=Jan!B5</t>
  </si>
  <si>
    <t xml:space="preserve">=SUM(Jan:Mar!B6)</t>
  </si>
  <si>
    <t xml:space="preserve">1. Click E5 and press F2 to see the 3-D reference Jan:Mar!B5.</t>
  </si>
  <si>
    <t xml:space="preserve">2. Drag the Feb tab so it sits to the right of Mar, then back. Totals are unchanged while Feb stays between Jan and Mar.</t>
  </si>
  <si>
    <t xml:space="preserve">3. Group edit: click Jan, Shift+click Mar, type a note in F1. It appears on all three. Right-click &gt; Ungroup Sheets.</t>
  </si>
  <si>
    <t xml:space="preserve">4. Insert a new sheet between Jan and Mar with the same layout: the 3-D totals include it automatically.</t>
  </si>
  <si>
    <t xml:space="preserve">Linking to another workbook</t>
  </si>
  <si>
    <t xml:space="preserve">A link to another workbook looks like this (shown as text; red text is the convention for external links):</t>
  </si>
  <si>
    <t xml:space="preserve">='[Budget2026.xlsx]Jan'!$B$9</t>
  </si>
  <si>
    <t xml:space="preserve">When the source is closed Excel shows the full path, e.g. ='C:\Reports\[Budget2026.xlsx]Jan'!$B$9</t>
  </si>
  <si>
    <t xml:space="preserve">Manage links: Data &gt; Edit Links (Workbook Links) to update, change source or break a link.</t>
  </si>
  <si>
    <t xml:space="preserve">Data &gt; Consolidate can also total ranges from several sheets or workbooks without writing formulas.</t>
  </si>
  <si>
    <t xml:space="preserve">Jan 2026 results</t>
  </si>
  <si>
    <t xml:space="preserve">Identical layout on Jan, Feb and Mar. Revenue matches the Data sheet; expenses are invented.</t>
  </si>
  <si>
    <t xml:space="preserve">Expenses</t>
  </si>
  <si>
    <t xml:space="preserve">Profit</t>
  </si>
  <si>
    <t xml:space="preserve">Feb 2026 results</t>
  </si>
  <si>
    <t xml:space="preserve">Mar 2026 results</t>
  </si>
  <si>
    <t xml:space="preserve">Guide topic 8. Use Formulas &gt; Formula Auditing on the model, then work through the error table and the bug hunt.</t>
  </si>
  <si>
    <t xml:space="preserve">Mini income model</t>
  </si>
  <si>
    <t xml:space="preserve">Auditing tools to try</t>
  </si>
  <si>
    <t xml:space="preserve">Test cells</t>
  </si>
  <si>
    <t xml:space="preserve">Units sold</t>
  </si>
  <si>
    <t xml:space="preserve">1. Click B14 &gt; Formulas &gt; Trace Precedents. Click again to go a level deeper.</t>
  </si>
  <si>
    <t xml:space="preserve">Zero cell</t>
  </si>
  <si>
    <t xml:space="preserve">Price per unit</t>
  </si>
  <si>
    <t xml:space="preserve">2. Click B5 &gt; Trace Dependents to see everything Units feeds.</t>
  </si>
  <si>
    <t xml:space="preserve">Text cell</t>
  </si>
  <si>
    <t xml:space="preserve">abc</t>
  </si>
  <si>
    <t xml:space="preserve">3. Remove Arrows clears them.</t>
  </si>
  <si>
    <t xml:space="preserve">COGS %</t>
  </si>
  <si>
    <t xml:space="preserve">4. Ctrl + ` (grave accent) toggles Show Formulas.</t>
  </si>
  <si>
    <t xml:space="preserve">COGS</t>
  </si>
  <si>
    <t xml:space="preserve">5. Click B14 &gt; Evaluate Formula &gt; Evaluate to step through the calculation.</t>
  </si>
  <si>
    <t xml:space="preserve">Gross profit</t>
  </si>
  <si>
    <t xml:space="preserve">6. Watch Window &gt; Add Watch &gt; B14, then change B5 from another sheet.</t>
  </si>
  <si>
    <t xml:space="preserve">Operating expenses</t>
  </si>
  <si>
    <t xml:space="preserve">Operating income</t>
  </si>
  <si>
    <t xml:space="preserve">Tax rate</t>
  </si>
  <si>
    <t xml:space="preserve">Net income</t>
  </si>
  <si>
    <t xml:space="preserve">All model inputs are invented.</t>
  </si>
  <si>
    <t xml:space="preserve">Error table: type the broken formula in a spare cell, read the error, then compare with the fix</t>
  </si>
  <si>
    <t xml:space="preserve">Error (shown with a leading #)</t>
  </si>
  <si>
    <t xml:space="preserve">Fixed (live)</t>
  </si>
  <si>
    <t xml:space="preserve">Broken formula to type</t>
  </si>
  <si>
    <t xml:space="preserve">What causes it</t>
  </si>
  <si>
    <t xml:space="preserve">DIV/0!</t>
  </si>
  <si>
    <t xml:space="preserve">=B7/H5</t>
  </si>
  <si>
    <t xml:space="preserve">Dividing by zero or by an empty cell</t>
  </si>
  <si>
    <t xml:space="preserve">VALUE!</t>
  </si>
  <si>
    <t xml:space="preserve">=B7+H6</t>
  </si>
  <si>
    <t xml:space="preserve">Maths on text; N() turns text into 0</t>
  </si>
  <si>
    <t xml:space="preserve">N/A</t>
  </si>
  <si>
    <t xml:space="preserve">=VLOOKUP("Tablet",Data!K5:M9,3,FALSE)</t>
  </si>
  <si>
    <t xml:space="preserve">Lookup value is not in the list</t>
  </si>
  <si>
    <t xml:space="preserve">NAME?</t>
  </si>
  <si>
    <t xml:space="preserve">=SUMM(B5:B6)</t>
  </si>
  <si>
    <t xml:space="preserve">Misspelled function or undefined name</t>
  </si>
  <si>
    <t xml:space="preserve">REF!</t>
  </si>
  <si>
    <t xml:space="preserve">=B7 then delete row 7 (then Undo!)</t>
  </si>
  <si>
    <t xml:space="preserve">The cell a formula pointed to was deleted</t>
  </si>
  <si>
    <t xml:space="preserve">#####</t>
  </si>
  <si>
    <t xml:space="preserve">Narrow column B until numbers vanish</t>
  </si>
  <si>
    <t xml:space="preserve">Column too narrow: not really an error</t>
  </si>
  <si>
    <t xml:space="preserve">Circular</t>
  </si>
  <si>
    <t xml:space="preserve">Type =B14+1 into B14 (then Undo!)</t>
  </si>
  <si>
    <t xml:space="preserve">A formula that refers to its own cell</t>
  </si>
  <si>
    <t xml:space="preserve">Bug hunt: no error value, but the total is wrong. Why?</t>
  </si>
  <si>
    <t xml:space="preserve">Expense</t>
  </si>
  <si>
    <t xml:space="preserve">Rent</t>
  </si>
  <si>
    <t xml:space="preserve">Click B35 &gt; Trace Precedents: the blue box stops at row 33.</t>
  </si>
  <si>
    <t xml:space="preserve">Utilities</t>
  </si>
  <si>
    <t xml:space="preserve">Excel also flags it with a green triangle: "Formula omits adjacent cells".</t>
  </si>
  <si>
    <t xml:space="preserve">Supplies</t>
  </si>
  <si>
    <t xml:space="preserve">Insurance</t>
  </si>
  <si>
    <t xml:space="preserve">Total (deliberately wrong)</t>
  </si>
  <si>
    <t xml:space="preserve">Correct total</t>
  </si>
  <si>
    <t xml:space="preserve">Guide topic 9. Every yellow cell has a data validation rule. Try to break each one.</t>
  </si>
  <si>
    <t xml:space="preserve">Order form</t>
  </si>
  <si>
    <t xml:space="preserve">Cell</t>
  </si>
  <si>
    <t xml:space="preserve">Rule (Data &gt; Data Validation)</t>
  </si>
  <si>
    <t xml:space="preserve">Try typing this</t>
  </si>
  <si>
    <t xml:space="preserve">B5 Product</t>
  </si>
  <si>
    <t xml:space="preserve">List, source =Data!$K$5:$K$9</t>
  </si>
  <si>
    <t xml:space="preserve">Tablet (rejected)</t>
  </si>
  <si>
    <t xml:space="preserve">Quantity</t>
  </si>
  <si>
    <t xml:space="preserve">B6 Quantity</t>
  </si>
  <si>
    <t xml:space="preserve">Whole number between 1 and 100</t>
  </si>
  <si>
    <t xml:space="preserve">0, 2.5 or 500 (all rejected)</t>
  </si>
  <si>
    <t xml:space="preserve">Order date</t>
  </si>
  <si>
    <t xml:space="preserve">B7 Order date</t>
  </si>
  <si>
    <t xml:space="preserve">Date &gt;= DATE(2026,1,1)</t>
  </si>
  <si>
    <t xml:space="preserve">12/31/2025 (rejected)</t>
  </si>
  <si>
    <t xml:space="preserve">Discount</t>
  </si>
  <si>
    <t xml:space="preserve">B8 Discount</t>
  </si>
  <si>
    <t xml:space="preserve">Decimal 0 to 0.2, Warning style</t>
  </si>
  <si>
    <t xml:space="preserve">0.5 (warning: you may continue)</t>
  </si>
  <si>
    <t xml:space="preserve">Customer code</t>
  </si>
  <si>
    <t xml:space="preserve">C1234</t>
  </si>
  <si>
    <t xml:space="preserve">B9 Customer code</t>
  </si>
  <si>
    <t xml:space="preserve">Custom =AND(LEN(B9)=5,LEFT(B9,1)="C")</t>
  </si>
  <si>
    <t xml:space="preserve">X1234 or C12 (rejected)</t>
  </si>
  <si>
    <t xml:space="preserve">Rush order?</t>
  </si>
  <si>
    <t xml:space="preserve">No</t>
  </si>
  <si>
    <t xml:space="preserve">B10 Rush order?</t>
  </si>
  <si>
    <t xml:space="preserve">List typed in the box: Yes,No</t>
  </si>
  <si>
    <t xml:space="preserve">Maybe (rejected)</t>
  </si>
  <si>
    <t xml:space="preserve">Unit price</t>
  </si>
  <si>
    <t xml:space="preserve">Order total</t>
  </si>
  <si>
    <t xml:space="preserve">Protect the sheet so only the inputs can change</t>
  </si>
  <si>
    <t xml:space="preserve">1. The six yellow cells are already unlocked (Format Cells &gt; Protection &gt; Locked is unticked).</t>
  </si>
  <si>
    <t xml:space="preserve">2. Review &gt; Protect Sheet &gt; OK (a password is optional).</t>
  </si>
  <si>
    <t xml:space="preserve">3. Now try to type over B13: Excel refuses. The yellow cells still accept input.</t>
  </si>
  <si>
    <t xml:space="preserve">4. Review &gt; Unprotect Sheet to switch it off.</t>
  </si>
  <si>
    <t xml:space="preserve">5. Data &gt; Data Validation &gt; Circle Invalid Data highlights entries that broke a rule before it existed.</t>
  </si>
  <si>
    <t xml:space="preserve">Guide topic 10. Money you pay out is negative, money you receive is positive. Rate and periods must use the same time unit.</t>
  </si>
  <si>
    <t xml:space="preserve">Amortization schedule</t>
  </si>
  <si>
    <t xml:space="preserve">Loan amount</t>
  </si>
  <si>
    <t xml:space="preserve">Loan inputs are invented</t>
  </si>
  <si>
    <t xml:space="preserve">Period</t>
  </si>
  <si>
    <t xml:space="preserve">Beginning</t>
  </si>
  <si>
    <t xml:space="preserve">Payment</t>
  </si>
  <si>
    <t xml:space="preserve">Interest</t>
  </si>
  <si>
    <t xml:space="preserve">Principal</t>
  </si>
  <si>
    <t xml:space="preserve">Ending</t>
  </si>
  <si>
    <t xml:space="preserve">Annual interest rate</t>
  </si>
  <si>
    <t xml:space="preserve">Term (years)</t>
  </si>
  <si>
    <t xml:space="preserve">Payments per year</t>
  </si>
  <si>
    <t xml:space="preserve">Loan results</t>
  </si>
  <si>
    <t xml:space="preserve">Monthly payment</t>
  </si>
  <si>
    <t xml:space="preserve">=PMT(B5/B7,B6*B7,-B4)</t>
  </si>
  <si>
    <t xml:space="preserve">Total paid</t>
  </si>
  <si>
    <t xml:space="preserve">=B9*B6*B7</t>
  </si>
  <si>
    <t xml:space="preserve">Total interest</t>
  </si>
  <si>
    <t xml:space="preserve">=B10-B4</t>
  </si>
  <si>
    <t xml:space="preserve">Interest in payment 1</t>
  </si>
  <si>
    <t xml:space="preserve">=IPMT(B5/B7,1,B6*B7,-B4)</t>
  </si>
  <si>
    <t xml:space="preserve">Principal in payment 1</t>
  </si>
  <si>
    <t xml:space="preserve">=PPMT(B5/B7,1,B6*B7,-B4)</t>
  </si>
  <si>
    <t xml:space="preserve">Check: number of payments</t>
  </si>
  <si>
    <t xml:space="preserve">=NPER(B5/B7,-B9,B4)</t>
  </si>
  <si>
    <t xml:space="preserve">Check: annual rate</t>
  </si>
  <si>
    <t xml:space="preserve">=RATE(B6*B7,-B9,B4)*B7</t>
  </si>
  <si>
    <t xml:space="preserve">Saving for a goal (FV)</t>
  </si>
  <si>
    <t xml:space="preserve">Monthly deposit</t>
  </si>
  <si>
    <t xml:space="preserve">Annual return</t>
  </si>
  <si>
    <t xml:space="preserve">Years</t>
  </si>
  <si>
    <t xml:space="preserve">Future value of the savings</t>
  </si>
  <si>
    <t xml:space="preserve">=FV(B19/12,B20*12,-B18)</t>
  </si>
  <si>
    <t xml:space="preserve">Value today of future money (PV)</t>
  </si>
  <si>
    <t xml:space="preserve">Amount received in the future</t>
  </si>
  <si>
    <t xml:space="preserve">Years until received</t>
  </si>
  <si>
    <t xml:space="preserve">Discount rate</t>
  </si>
  <si>
    <t xml:space="preserve">Present value today</t>
  </si>
  <si>
    <t xml:space="preserve">=PV(B26,B25,0,-B24)</t>
  </si>
  <si>
    <t xml:space="preserve">Evaluating a project (NPV and IRR)</t>
  </si>
  <si>
    <t xml:space="preserve">Year 0 (investment)</t>
  </si>
  <si>
    <t xml:space="preserve">Year 1</t>
  </si>
  <si>
    <t xml:space="preserve">Year 2</t>
  </si>
  <si>
    <t xml:space="preserve">Year 3</t>
  </si>
  <si>
    <t xml:space="preserve">Year 4</t>
  </si>
  <si>
    <t xml:space="preserve">Net present value</t>
  </si>
  <si>
    <t xml:space="preserve">=NPV(B30,B32:B35)+B31   NPV starts at year 1, so add year 0 separately</t>
  </si>
  <si>
    <t xml:space="preserve">Internal rate of return</t>
  </si>
  <si>
    <t xml:space="preserve">=IRR(B31:B35)</t>
  </si>
  <si>
    <t xml:space="preserve">Depreciation (SLN)</t>
  </si>
  <si>
    <t xml:space="preserve">Asset cost</t>
  </si>
  <si>
    <t xml:space="preserve">Salvage value</t>
  </si>
  <si>
    <t xml:space="preserve">Useful life (years)</t>
  </si>
  <si>
    <t xml:space="preserve">Straight-line depreciation per year</t>
  </si>
  <si>
    <t xml:space="preserve">=SLN(B40,B41,B42)</t>
  </si>
  <si>
    <t xml:space="preserve">Schedule is built for the 60 payments of the default 5-year monthly loan.</t>
  </si>
  <si>
    <t xml:space="preserve">Guide topic 11. A furniture maker chooses how many tables and chairs to build to maximise profit. Numbers are invented.</t>
  </si>
  <si>
    <t xml:space="preserve">Tables</t>
  </si>
  <si>
    <t xml:space="preserve">Chairs</t>
  </si>
  <si>
    <t xml:space="preserve">Units to make (changing cells)</t>
  </si>
  <si>
    <t xml:space="preserve">Profit per unit</t>
  </si>
  <si>
    <t xml:space="preserve">Total profit (objective)</t>
  </si>
  <si>
    <t xml:space="preserve">Resource (hours per unit)</t>
  </si>
  <si>
    <t xml:space="preserve">Used</t>
  </si>
  <si>
    <t xml:space="preserve">Available</t>
  </si>
  <si>
    <t xml:space="preserve">Carpentry hours</t>
  </si>
  <si>
    <t xml:space="preserve">&lt;=</t>
  </si>
  <si>
    <t xml:space="preserve">Finishing hours</t>
  </si>
  <si>
    <t xml:space="preserve">Solver setup</t>
  </si>
  <si>
    <t xml:space="preserve">0. One-time setup: File &gt; Options &gt; Add-ins &gt; Manage: Excel Add-ins &gt; Go &gt; tick Solver Add-in.</t>
  </si>
  <si>
    <t xml:space="preserve">1. Data &gt; Solver.</t>
  </si>
  <si>
    <t xml:space="preserve">2. Set Objective: $B$8     To: Max</t>
  </si>
  <si>
    <t xml:space="preserve">3. By Changing Variable Cells: $B$5:$C$5</t>
  </si>
  <si>
    <t xml:space="preserve">4. Add constraint: $D$11:$D$12 &lt;= $F$11:$F$12</t>
  </si>
  <si>
    <t xml:space="preserve">5. Tick "Make Unconstrained Variables Non-Negative".</t>
  </si>
  <si>
    <t xml:space="preserve">6. Select a Solving Method: Simplex LP.</t>
  </si>
  <si>
    <t xml:space="preserve">7. Solve &gt; Keep Solver Solution. Tick Answer and Sensitivity reports to see them on new sheets.</t>
  </si>
  <si>
    <t xml:space="preserve">Answer check</t>
  </si>
  <si>
    <t xml:space="preserve">Maximum profit</t>
  </si>
  <si>
    <t xml:space="preserve">Both resources are fully used at the optimum (binding constraints).</t>
  </si>
  <si>
    <t xml:space="preserve">Guide topic 12. Demand falls as price rises, so profit is a curve. Solver finds the top of it. Numbers are invented.</t>
  </si>
  <si>
    <t xml:space="preserve">Price (changing cell)</t>
  </si>
  <si>
    <t xml:space="preserve">Price</t>
  </si>
  <si>
    <t xml:space="preserve">Unit cost</t>
  </si>
  <si>
    <t xml:space="preserve">Fixed cost</t>
  </si>
  <si>
    <t xml:space="preserve">Demand at price 0</t>
  </si>
  <si>
    <t xml:space="preserve">Units lost per $1 of price</t>
  </si>
  <si>
    <t xml:space="preserve">Demand (units)</t>
  </si>
  <si>
    <t xml:space="preserve">Total cost</t>
  </si>
  <si>
    <t xml:space="preserve">Profit (objective)</t>
  </si>
  <si>
    <t xml:space="preserve">2. Set Objective: $B$13     To: Max</t>
  </si>
  <si>
    <t xml:space="preserve">3. By Changing Variable Cells: $B$4</t>
  </si>
  <si>
    <t xml:space="preserve">4. Add constraints: $B$4 &gt;= $B$5   and   $B$4 &lt;= 30</t>
  </si>
  <si>
    <t xml:space="preserve">5. Select a Solving Method: GRG Nonlinear (price times demand makes the model nonlinear).</t>
  </si>
  <si>
    <t xml:space="preserve">6. Solve. Then start again from price 28 and solve: a smooth single-peak curve gives the same answer.</t>
  </si>
  <si>
    <t xml:space="preserve">7. For bumpy models tick Options &gt; GRG Nonlinear &gt; Use Multistart, or try Evolutionary.</t>
  </si>
  <si>
    <t xml:space="preserve">Best price</t>
  </si>
  <si>
    <t xml:space="preserve">Profit at best price</t>
  </si>
  <si>
    <t xml:space="preserve">Calculus check: profit peaks halfway between unit cost and the price where demand hits zero.</t>
  </si>
  <si>
    <t xml:space="preserve">Guide topic 13. A data table reruns one formula for a list of input values. Fill the yellow areas with Data &gt; What-If Analysis &gt; Data Table.</t>
  </si>
  <si>
    <t xml:space="preserve">Annual rate</t>
  </si>
  <si>
    <t xml:space="preserve">One-variable table: payment at different rates</t>
  </si>
  <si>
    <t xml:space="preserve">1. Select A10:B15</t>
  </si>
  <si>
    <t xml:space="preserve">2. Data &gt; What-If Analysis &gt; Data Table</t>
  </si>
  <si>
    <t xml:space="preserve">3. Leave Row input cell empty</t>
  </si>
  <si>
    <t xml:space="preserve">4. Column input cell: $B$5  &gt; OK</t>
  </si>
  <si>
    <t xml:space="preserve">B11:B15 should equal the green column.</t>
  </si>
  <si>
    <t xml:space="preserve">Two-variable table: payment by rate (down) and years (across)</t>
  </si>
  <si>
    <t xml:space="preserve">Two-variable steps</t>
  </si>
  <si>
    <t xml:space="preserve">1. Select A19:D24 (the formula sits in the top-left corner).</t>
  </si>
  <si>
    <t xml:space="preserve">2. Data &gt; What-If Analysis &gt; Data Table.</t>
  </si>
  <si>
    <t xml:space="preserve">3. Row input cell: $B$6 (the years run across the top row).</t>
  </si>
  <si>
    <t xml:space="preserve">4. Column input cell: $B$5 (the rates run down the left column) &gt; OK.</t>
  </si>
  <si>
    <t xml:space="preserve">5. Click B20: the formula bar shows {=TABLE(B6,B5)}. You cannot edit one result cell on its own.</t>
  </si>
  <si>
    <t xml:space="preserve">Guide topic 14. Save sets of input values as named scenarios and switch between them. Numbers are invented.</t>
  </si>
  <si>
    <t xml:space="preserve">Scenario</t>
  </si>
  <si>
    <t xml:space="preserve">Expected profit</t>
  </si>
  <si>
    <t xml:space="preserve">Best</t>
  </si>
  <si>
    <t xml:space="preserve">Base</t>
  </si>
  <si>
    <t xml:space="preserve">Fixed costs</t>
  </si>
  <si>
    <t xml:space="preserve">Worst</t>
  </si>
  <si>
    <t xml:space="preserve">Scenario Manager steps</t>
  </si>
  <si>
    <t xml:space="preserve">1. Data &gt; What-If Analysis &gt; Scenario Manager &gt; Add.</t>
  </si>
  <si>
    <t xml:space="preserve">2. Scenario name: Best     Changing cells: $B$4:$B$6 &gt; OK.</t>
  </si>
  <si>
    <t xml:space="preserve">3. Enter 1200, 52 and 28 &gt; Add. Repeat for Base and Worst using the table above &gt; OK.</t>
  </si>
  <si>
    <t xml:space="preserve">4. Pick a scenario &gt; Show. Profit in B11 should equal the green check for that scenario.</t>
  </si>
  <si>
    <t xml:space="preserve">5. Summary &gt; Result cells: $B$11 &gt; OK. Excel builds a Scenario Summary sheet comparing all three.</t>
  </si>
  <si>
    <t xml:space="preserve">6. Tip: name the cells first (Formulas &gt; Define Name) so the summary shows names, not addresses.</t>
  </si>
  <si>
    <t xml:space="preserve">Goal Seek: how many units to break even?</t>
  </si>
  <si>
    <t xml:space="preserve">1. Show the Base scenario (1000, 50, 30).</t>
  </si>
  <si>
    <t xml:space="preserve">2. Data &gt; What-If Analysis &gt; Goal Seek.</t>
  </si>
  <si>
    <t xml:space="preserve">3. Set cell: $B$11    To value: 0    By changing cell: $B$4 &gt; OK.</t>
  </si>
  <si>
    <t xml:space="preserve">Answer check: break-even units</t>
  </si>
  <si>
    <t xml:space="preserve">15. Excel macros</t>
  </si>
  <si>
    <t xml:space="preserve">Guide topic 15. First: File &gt; Save As &gt; Excel Macro-Enabled Workbook (*.xlsm). An .xlsx file discards macros when saved.</t>
  </si>
  <si>
    <t xml:space="preserve">Record your first macro</t>
  </si>
  <si>
    <t xml:space="preserve">Order</t>
  </si>
  <si>
    <t xml:space="preserve">0. Show the Developer tab: File &gt; Options &gt; Customize Ribbon &gt; tick Developer.</t>
  </si>
  <si>
    <t xml:space="preserve">1. Select C4:D4. Developer &gt; Record Macro. Name: FormatHeader, Shortcut: Ctrl+Shift+H, Store in: This Workbook.</t>
  </si>
  <si>
    <t xml:space="preserve">2. Make the cells bold, fill them green, centre them. Developer &gt; Stop Recording.</t>
  </si>
  <si>
    <t xml:space="preserve">3. Select any other cells and press Ctrl+Shift+H to replay it.</t>
  </si>
  <si>
    <t xml:space="preserve">4. Developer &gt; Macros &gt; FormatHeader &gt; Edit opens the VBA editor (Alt+F11) with the code Excel wrote.</t>
  </si>
  <si>
    <t xml:space="preserve">5. Use Relative References (toggle before recording) makes a macro act from the active cell instead of fixed addresses.</t>
  </si>
  <si>
    <t xml:space="preserve">Three short procedures to paste</t>
  </si>
  <si>
    <t xml:space="preserve">Alt+F11 &gt; Insert &gt; Module, then type or paste the code below. Run with F5 or Developer &gt; Macros.</t>
  </si>
  <si>
    <t xml:space="preserve">Sub FormatHeader()</t>
  </si>
  <si>
    <t xml:space="preserve">    ' Formats whatever cells are selected as a header row</t>
  </si>
  <si>
    <t xml:space="preserve">    With Selection</t>
  </si>
  <si>
    <t xml:space="preserve">        .Font.Bold = True</t>
  </si>
  <si>
    <t xml:space="preserve">        .Font.Color = vbWhite</t>
  </si>
  <si>
    <t xml:space="preserve">        .Interior.Color = RGB(33, 115, 70)</t>
  </si>
  <si>
    <t xml:space="preserve">        .HorizontalAlignment = xlCenter</t>
  </si>
  <si>
    <t xml:space="preserve">    End With</t>
  </si>
  <si>
    <t xml:space="preserve">End Sub</t>
  </si>
  <si>
    <t xml:space="preserve">Sub AddTimestamp()</t>
  </si>
  <si>
    <t xml:space="preserve">    ' Stamps the active cell with the current date and time</t>
  </si>
  <si>
    <t xml:space="preserve">    ActiveCell.Value = Now</t>
  </si>
  <si>
    <t xml:space="preserve">    ActiveCell.NumberFormat = "yyyy-mm-dd hh:mm"</t>
  </si>
  <si>
    <t xml:space="preserve">Sub HighlightBigOrders()</t>
  </si>
  <si>
    <t xml:space="preserve">    ' Loops through the revenue cells and colours any over 2,000</t>
  </si>
  <si>
    <t xml:space="preserve">    Dim c As Range</t>
  </si>
  <si>
    <t xml:space="preserve">    For Each c In Worksheets("15 Macros").Range("D5:D9")</t>
  </si>
  <si>
    <t xml:space="preserve">        If c.Value &gt; 2000 Then c.Interior.Color = vbYellow</t>
  </si>
  <si>
    <t xml:space="preserve">    Next c</t>
  </si>
  <si>
    <t xml:space="preserve">After running</t>
  </si>
  <si>
    <t xml:space="preserve">HighlightBigOrders should colour D5 and D6 (the two orders above $2,000).</t>
  </si>
  <si>
    <t xml:space="preserve">Assign a macro to a button: Developer &gt; Insert &gt; Button (Form Control), draw it, pick the macro.</t>
  </si>
  <si>
    <t xml:space="preserve">Security: File &gt; Options &gt; Trust Center &gt; Macro Settings. Only enable macros in files you trust.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</si>
</sst>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mmm\ d&quot;, &quot;yyyy"/>
    <numFmt numFmtId="166" formatCode="\$#,##0"/>
    <numFmt numFmtId="167" formatCode="General"/>
    <numFmt numFmtId="168" formatCode="0.0%"/>
    <numFmt numFmtId="169" formatCode="h:mm\ AM/PM"/>
    <numFmt numFmtId="170" formatCode="mmm\ d&quot;, &quot;yyyy\ h:mm\ AM/PM"/>
    <numFmt numFmtId="171" formatCode="0"/>
    <numFmt numFmtId="172" formatCode="0.000"/>
    <numFmt numFmtId="173" formatCode="0.00"/>
    <numFmt numFmtId="174" formatCode="0%"/>
    <numFmt numFmtId="175" formatCode="\$#,##0.00"/>
    <numFmt numFmtId="176" formatCode="#,##0"/>
    <numFmt numFmtId="177" formatCode="0.00%"/>
    <numFmt numFmtId="178" formatCode="0.0"/>
    <numFmt numFmtId="179" formatCode="\$#,##0;&quot;($&quot;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734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7F3F00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1F3864"/>
      <name val="Courier Ne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10" fillId="3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10" fillId="3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10" fillId="3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1734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8064A2"/>
      <rgbColor rgb="FF9BBB59"/>
      <rgbColor rgb="FF1F3864"/>
      <rgbColor rgb="FF339966"/>
      <rgbColor rgb="FF003300"/>
      <rgbColor rgb="FF333300"/>
      <rgbColor rgb="FF7F3F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 Charts'!C4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Charts'!$B$5:$B$9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'1 Charts'!$C$5:$C$9</c:f>
              <c:numCache>
                <c:formatCode>\$#,##0</c:formatCode>
                <c:ptCount val="5"/>
                <c:pt idx="0">
                  <c:v>8100</c:v>
                </c:pt>
                <c:pt idx="1">
                  <c:v>10400</c:v>
                </c:pt>
                <c:pt idx="2">
                  <c:v>9350</c:v>
                </c:pt>
                <c:pt idx="3">
                  <c:v>7375</c:v>
                </c:pt>
                <c:pt idx="4">
                  <c:v>7350</c:v>
                </c:pt>
              </c:numCache>
            </c:numRef>
          </c:val>
        </c:ser>
        <c:gapWidth val="150"/>
        <c:overlap val="0"/>
        <c:axId val="37154979"/>
        <c:axId val="76457001"/>
      </c:barChart>
      <c:catAx>
        <c:axId val="371549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57001"/>
        <c:crosses val="autoZero"/>
        <c:auto val="1"/>
        <c:lblAlgn val="ctr"/>
        <c:lblOffset val="100"/>
        <c:noMultiLvlLbl val="0"/>
      </c:catAx>
      <c:valAx>
        <c:axId val="76457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549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'1 Charts'!B13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'1 Charts'!$A$14:$A$17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'1 Charts'!$B$14:$B$17</c:f>
              <c:numCache>
                <c:formatCode>\$#,##0</c:formatCode>
                <c:ptCount val="4"/>
                <c:pt idx="0">
                  <c:v>9700</c:v>
                </c:pt>
                <c:pt idx="1">
                  <c:v>11775</c:v>
                </c:pt>
                <c:pt idx="2">
                  <c:v>8400</c:v>
                </c:pt>
                <c:pt idx="3">
                  <c:v>12700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Combo: revenue (columns) and units (line)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 Charts'!C4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Charts'!$B$5:$B$9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'1 Charts'!$C$5:$C$9</c:f>
              <c:numCache>
                <c:formatCode>\$#,##0</c:formatCode>
                <c:ptCount val="5"/>
                <c:pt idx="0">
                  <c:v>8100</c:v>
                </c:pt>
                <c:pt idx="1">
                  <c:v>10400</c:v>
                </c:pt>
                <c:pt idx="2">
                  <c:v>9350</c:v>
                </c:pt>
                <c:pt idx="3">
                  <c:v>7375</c:v>
                </c:pt>
                <c:pt idx="4">
                  <c:v>7350</c:v>
                </c:pt>
              </c:numCache>
            </c:numRef>
          </c:val>
        </c:ser>
        <c:gapWidth val="150"/>
        <c:overlap val="0"/>
        <c:axId val="65195820"/>
        <c:axId val="20642157"/>
      </c:barChart>
      <c:lineChart>
        <c:grouping val="standard"/>
        <c:varyColors val="0"/>
        <c:ser>
          <c:idx val="1"/>
          <c:order val="1"/>
          <c:tx>
            <c:strRef>
              <c:f>'1 Charts'!D4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Charts'!$B$5:$B$9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'1 Charts'!$D$5:$D$9</c:f>
              <c:numCache>
                <c:formatCode>General</c:formatCode>
                <c:ptCount val="5"/>
                <c:pt idx="0">
                  <c:v>79</c:v>
                </c:pt>
                <c:pt idx="1">
                  <c:v>59</c:v>
                </c:pt>
                <c:pt idx="2">
                  <c:v>85</c:v>
                </c:pt>
                <c:pt idx="3">
                  <c:v>70</c:v>
                </c:pt>
                <c:pt idx="4">
                  <c:v>109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518091"/>
        <c:axId val="70343089"/>
      </c:lineChart>
      <c:catAx>
        <c:axId val="651958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42157"/>
        <c:crosses val="autoZero"/>
        <c:auto val="1"/>
        <c:lblAlgn val="ctr"/>
        <c:lblOffset val="100"/>
        <c:noMultiLvlLbl val="0"/>
      </c:catAx>
      <c:valAx>
        <c:axId val="206421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95820"/>
        <c:crosses val="autoZero"/>
        <c:crossBetween val="between"/>
      </c:valAx>
      <c:catAx>
        <c:axId val="1151809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43089"/>
        <c:crosses val="autoZero"/>
        <c:auto val="1"/>
        <c:lblAlgn val="ctr"/>
        <c:lblOffset val="100"/>
        <c:noMultiLvlLbl val="0"/>
      </c:catAx>
      <c:valAx>
        <c:axId val="7034308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1809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'12 Solver Nonlinear'!$D$5:$D$11</c:f>
              <c:numCache>
                <c:formatCode>\$#,##0</c:formatCode>
                <c:ptCount val="7"/>
                <c:pt idx="0">
                  <c:v>6</c:v>
                </c:pt>
                <c:pt idx="1">
                  <c:v>10</c:v>
                </c:pt>
                <c:pt idx="2">
                  <c:v>14</c:v>
                </c:pt>
                <c:pt idx="3">
                  <c:v>18</c:v>
                </c:pt>
                <c:pt idx="4">
                  <c:v>22</c:v>
                </c:pt>
                <c:pt idx="5">
                  <c:v>26</c:v>
                </c:pt>
                <c:pt idx="6">
                  <c:v>30</c:v>
                </c:pt>
              </c:numCache>
            </c:numRef>
          </c:xVal>
          <c:yVal>
            <c:numRef>
              <c:f>'12 Solver Nonlinear'!$E$5:$E$11</c:f>
              <c:numCache>
                <c:formatCode>\$#,##0</c:formatCode>
                <c:ptCount val="7"/>
                <c:pt idx="0">
                  <c:v>-2000</c:v>
                </c:pt>
                <c:pt idx="1">
                  <c:v>1200</c:v>
                </c:pt>
                <c:pt idx="2">
                  <c:v>3120</c:v>
                </c:pt>
                <c:pt idx="3">
                  <c:v>3760</c:v>
                </c:pt>
                <c:pt idx="4">
                  <c:v>3120</c:v>
                </c:pt>
                <c:pt idx="5">
                  <c:v>1200</c:v>
                </c:pt>
                <c:pt idx="6">
                  <c:v>-2000</c:v>
                </c:pt>
              </c:numCache>
            </c:numRef>
          </c:yVal>
          <c:smooth val="1"/>
        </c:ser>
        <c:axId val="25696680"/>
        <c:axId val="84036529"/>
      </c:scatterChart>
      <c:valAx>
        <c:axId val="256966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36529"/>
        <c:crosses val="autoZero"/>
        <c:crossBetween val="midCat"/>
      </c:valAx>
      <c:valAx>
        <c:axId val="84036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9668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11</xdr:col>
      <xdr:colOff>307440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3312720" y="571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160560</xdr:rowOff>
    </xdr:from>
    <xdr:to>
      <xdr:col>11</xdr:col>
      <xdr:colOff>307440</xdr:colOff>
      <xdr:row>33</xdr:row>
      <xdr:rowOff>2880</xdr:rowOff>
    </xdr:to>
    <xdr:graphicFrame>
      <xdr:nvGraphicFramePr>
        <xdr:cNvPr id="1" name="Chart 2"/>
        <xdr:cNvGraphicFramePr/>
      </xdr:nvGraphicFramePr>
      <xdr:xfrm>
        <a:off x="3312720" y="3619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34</xdr:row>
      <xdr:rowOff>160560</xdr:rowOff>
    </xdr:from>
    <xdr:to>
      <xdr:col>11</xdr:col>
      <xdr:colOff>307440</xdr:colOff>
      <xdr:row>49</xdr:row>
      <xdr:rowOff>2880</xdr:rowOff>
    </xdr:to>
    <xdr:graphicFrame>
      <xdr:nvGraphicFramePr>
        <xdr:cNvPr id="2" name="Chart 3"/>
        <xdr:cNvGraphicFramePr/>
      </xdr:nvGraphicFramePr>
      <xdr:xfrm>
        <a:off x="3312720" y="66675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13</xdr:col>
      <xdr:colOff>399240</xdr:colOff>
      <xdr:row>17</xdr:row>
      <xdr:rowOff>2880</xdr:rowOff>
    </xdr:to>
    <xdr:graphicFrame>
      <xdr:nvGraphicFramePr>
        <xdr:cNvPr id="3" name="Chart 1"/>
        <xdr:cNvGraphicFramePr/>
      </xdr:nvGraphicFramePr>
      <xdr:xfrm>
        <a:off x="5616000" y="571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4:H24" headerRowCount="1" totalsRowCount="0" totalsRowShown="0">
  <autoFilter ref="A4:H24"/>
  <tableColumns count="8">
    <tableColumn id="1" name="Date"/>
    <tableColumn id="2" name="Region"/>
    <tableColumn id="3" name="Rep"/>
    <tableColumn id="4" name="Product"/>
    <tableColumn id="5" name="Category"/>
    <tableColumn id="6" name="Units"/>
    <tableColumn id="7" name="Unit Price"/>
    <tableColumn id="8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dvanced_Excel_Practice_Workbook.xlsx" TargetMode="External"/><Relationship Id="rId2" Type="http://schemas.openxmlformats.org/officeDocument/2006/relationships/hyperlink" Target="Advanced_Excel_Practice_Workbook.xlsx" TargetMode="External"/><Relationship Id="rId3" Type="http://schemas.openxmlformats.org/officeDocument/2006/relationships/hyperlink" Target="Advanced_Excel_Practice_Workbook.xlsx" TargetMode="External"/><Relationship Id="rId4" Type="http://schemas.openxmlformats.org/officeDocument/2006/relationships/hyperlink" Target="Advanced_Excel_Practice_Workbook.xlsx" TargetMode="External"/><Relationship Id="rId5" Type="http://schemas.openxmlformats.org/officeDocument/2006/relationships/hyperlink" Target="Advanced_Excel_Practice_Workbook.xlsx" TargetMode="External"/><Relationship Id="rId6" Type="http://schemas.openxmlformats.org/officeDocument/2006/relationships/hyperlink" Target="Advanced_Excel_Practice_Workbook.xlsx" TargetMode="External"/><Relationship Id="rId7" Type="http://schemas.openxmlformats.org/officeDocument/2006/relationships/hyperlink" Target="Advanced_Excel_Practice_Workbook.xlsx" TargetMode="External"/><Relationship Id="rId8" Type="http://schemas.openxmlformats.org/officeDocument/2006/relationships/hyperlink" Target="Advanced_Excel_Practice_Workbook.xlsx" TargetMode="External"/><Relationship Id="rId9" Type="http://schemas.openxmlformats.org/officeDocument/2006/relationships/hyperlink" Target="Advanced_Excel_Practice_Workbook.xlsx" TargetMode="External"/><Relationship Id="rId10" Type="http://schemas.openxmlformats.org/officeDocument/2006/relationships/hyperlink" Target="Advanced_Excel_Practice_Workbook.xlsx" TargetMode="External"/><Relationship Id="rId11" Type="http://schemas.openxmlformats.org/officeDocument/2006/relationships/hyperlink" Target="Advanced_Excel_Practice_Workbook.xlsx" TargetMode="External"/><Relationship Id="rId12" Type="http://schemas.openxmlformats.org/officeDocument/2006/relationships/hyperlink" Target="Advanced_Excel_Practice_Workbook.xlsx" TargetMode="External"/><Relationship Id="rId13" Type="http://schemas.openxmlformats.org/officeDocument/2006/relationships/hyperlink" Target="Advanced_Excel_Practice_Workbook.xlsx" TargetMode="External"/><Relationship Id="rId14" Type="http://schemas.openxmlformats.org/officeDocument/2006/relationships/hyperlink" Target="Advanced_Excel_Practice_Workbook.xlsx" TargetMode="External"/><Relationship Id="rId15" Type="http://schemas.openxmlformats.org/officeDocument/2006/relationships/hyperlink" Target="Advanced_Excel_Practice_Workbook.xlsx" TargetMode="External"/><Relationship Id="rId16" Type="http://schemas.openxmlformats.org/officeDocument/2006/relationships/hyperlink" Target="Advanced_Excel_Practice_Workbook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8" hidden="false" customHeight="true" outlineLevel="0" collapsed="false">
      <c r="A11" s="5" t="s">
        <v>8</v>
      </c>
      <c r="B11" s="5" t="s">
        <v>9</v>
      </c>
      <c r="C11" s="5" t="s">
        <v>10</v>
      </c>
    </row>
    <row r="12" customFormat="false" ht="15" hidden="false" customHeight="false" outlineLevel="0" collapsed="false">
      <c r="A12" s="6" t="s">
        <v>11</v>
      </c>
      <c r="B12" s="4" t="s">
        <v>12</v>
      </c>
      <c r="C12" s="4" t="s">
        <v>13</v>
      </c>
    </row>
    <row r="13" customFormat="false" ht="15" hidden="false" customHeight="false" outlineLevel="0" collapsed="false">
      <c r="A13" s="6" t="s">
        <v>14</v>
      </c>
      <c r="B13" s="4" t="s">
        <v>15</v>
      </c>
      <c r="C13" s="4" t="s">
        <v>16</v>
      </c>
    </row>
    <row r="14" customFormat="false" ht="15" hidden="false" customHeight="false" outlineLevel="0" collapsed="false">
      <c r="A14" s="6" t="s">
        <v>17</v>
      </c>
      <c r="B14" s="4" t="s">
        <v>18</v>
      </c>
      <c r="C14" s="4" t="s">
        <v>19</v>
      </c>
    </row>
    <row r="15" customFormat="false" ht="15" hidden="false" customHeight="false" outlineLevel="0" collapsed="false">
      <c r="A15" s="6" t="s">
        <v>20</v>
      </c>
      <c r="B15" s="4" t="s">
        <v>21</v>
      </c>
      <c r="C15" s="4" t="s">
        <v>22</v>
      </c>
    </row>
    <row r="16" customFormat="false" ht="15" hidden="false" customHeight="false" outlineLevel="0" collapsed="false">
      <c r="A16" s="6" t="s">
        <v>23</v>
      </c>
      <c r="B16" s="4" t="s">
        <v>24</v>
      </c>
      <c r="C16" s="4" t="s">
        <v>25</v>
      </c>
    </row>
    <row r="17" customFormat="false" ht="15" hidden="false" customHeight="false" outlineLevel="0" collapsed="false">
      <c r="A17" s="6" t="s">
        <v>26</v>
      </c>
      <c r="B17" s="4" t="s">
        <v>27</v>
      </c>
      <c r="C17" s="4" t="s">
        <v>28</v>
      </c>
    </row>
    <row r="18" customFormat="false" ht="15" hidden="false" customHeight="false" outlineLevel="0" collapsed="false">
      <c r="A18" s="6" t="s">
        <v>29</v>
      </c>
      <c r="B18" s="4" t="s">
        <v>30</v>
      </c>
      <c r="C18" s="4" t="s">
        <v>31</v>
      </c>
    </row>
    <row r="19" customFormat="false" ht="15" hidden="false" customHeight="false" outlineLevel="0" collapsed="false">
      <c r="A19" s="6" t="s">
        <v>32</v>
      </c>
      <c r="B19" s="4" t="s">
        <v>33</v>
      </c>
      <c r="C19" s="4" t="s">
        <v>34</v>
      </c>
    </row>
    <row r="20" customFormat="false" ht="15" hidden="false" customHeight="false" outlineLevel="0" collapsed="false">
      <c r="A20" s="6" t="s">
        <v>35</v>
      </c>
      <c r="B20" s="4" t="s">
        <v>36</v>
      </c>
      <c r="C20" s="4" t="s">
        <v>37</v>
      </c>
    </row>
    <row r="21" customFormat="false" ht="15" hidden="false" customHeight="false" outlineLevel="0" collapsed="false">
      <c r="A21" s="6" t="s">
        <v>38</v>
      </c>
      <c r="B21" s="4" t="s">
        <v>39</v>
      </c>
      <c r="C21" s="4" t="s">
        <v>40</v>
      </c>
    </row>
    <row r="22" customFormat="false" ht="15" hidden="false" customHeight="false" outlineLevel="0" collapsed="false">
      <c r="A22" s="6" t="s">
        <v>41</v>
      </c>
      <c r="B22" s="4" t="s">
        <v>42</v>
      </c>
      <c r="C22" s="4" t="s">
        <v>43</v>
      </c>
    </row>
    <row r="23" customFormat="false" ht="15" hidden="false" customHeight="false" outlineLevel="0" collapsed="false">
      <c r="A23" s="6" t="s">
        <v>44</v>
      </c>
      <c r="B23" s="4" t="s">
        <v>45</v>
      </c>
      <c r="C23" s="4" t="s">
        <v>46</v>
      </c>
    </row>
    <row r="24" customFormat="false" ht="15" hidden="false" customHeight="false" outlineLevel="0" collapsed="false">
      <c r="A24" s="6" t="s">
        <v>47</v>
      </c>
      <c r="B24" s="4" t="s">
        <v>48</v>
      </c>
      <c r="C24" s="4" t="s">
        <v>49</v>
      </c>
    </row>
    <row r="25" customFormat="false" ht="15" hidden="false" customHeight="false" outlineLevel="0" collapsed="false">
      <c r="A25" s="6" t="s">
        <v>50</v>
      </c>
      <c r="B25" s="4" t="s">
        <v>51</v>
      </c>
      <c r="C25" s="4" t="s">
        <v>52</v>
      </c>
    </row>
    <row r="26" customFormat="false" ht="15" hidden="false" customHeight="false" outlineLevel="0" collapsed="false">
      <c r="A26" s="6" t="s">
        <v>53</v>
      </c>
      <c r="B26" s="4" t="s">
        <v>54</v>
      </c>
      <c r="C26" s="4" t="s">
        <v>55</v>
      </c>
    </row>
    <row r="27" customFormat="false" ht="15" hidden="false" customHeight="false" outlineLevel="0" collapsed="false">
      <c r="A27" s="6" t="s">
        <v>56</v>
      </c>
      <c r="B27" s="4" t="s">
        <v>57</v>
      </c>
      <c r="C27" s="4" t="s">
        <v>58</v>
      </c>
    </row>
    <row r="29" customFormat="false" ht="15" hidden="false" customHeight="false" outlineLevel="0" collapsed="false">
      <c r="A29" s="3" t="s">
        <v>59</v>
      </c>
    </row>
    <row r="30" customFormat="false" ht="15" hidden="false" customHeight="false" outlineLevel="0" collapsed="false">
      <c r="A30" s="4" t="s">
        <v>60</v>
      </c>
    </row>
    <row r="31" customFormat="false" ht="15" hidden="false" customHeight="false" outlineLevel="0" collapsed="false">
      <c r="A31" s="4" t="s">
        <v>61</v>
      </c>
    </row>
    <row r="32" customFormat="false" ht="15" hidden="false" customHeight="false" outlineLevel="0" collapsed="false">
      <c r="A32" s="4" t="s">
        <v>62</v>
      </c>
    </row>
  </sheetData>
  <hyperlinks>
    <hyperlink ref="A12" r:id="rId1" location="'Data'!A1" display="Data"/>
    <hyperlink ref="A13" r:id="rId2" location="'1%20Charts'!A1" display="1 Charts"/>
    <hyperlink ref="A14" r:id="rId3" location="'2%20Dates'!A1" display="2 Dates"/>
    <hyperlink ref="A15" r:id="rId4" location="'3%20PivotTables'!A1" display="3 PivotTables"/>
    <hyperlink ref="A16" r:id="rId5" location="'4%20External%20Data'!A1" display="4 External Data"/>
    <hyperlink ref="A17" r:id="rId6" location="'5%20Sort%20Filter'!A1" display="5 Sort Filter"/>
    <hyperlink ref="A18" r:id="rId7" location="'6%20Lookup%20Query'!A1" display="6 Lookup Query"/>
    <hyperlink ref="A19" r:id="rId8" location="'7%20Multi-Sheet'!A1" display="7 Multi-Sheet"/>
    <hyperlink ref="A20" r:id="rId9" location="'8%20Auditing'!A1" display="8 Auditing"/>
    <hyperlink ref="A21" r:id="rId10" location="'9%20Input%20Control'!A1" display="9 Input Control"/>
    <hyperlink ref="A22" r:id="rId11" location="'10%20Financial'!A1" display="10 Financial"/>
    <hyperlink ref="A23" r:id="rId12" location="'11%20Solver%20Linear'!A1" display="11 Solver Linear"/>
    <hyperlink ref="A24" r:id="rId13" location="'12%20Solver%20Nonlinear'!A1" display="12 Solver Nonlinear"/>
    <hyperlink ref="A25" r:id="rId14" location="'13%20Data%20Tables'!A1" display="13 Data Tables"/>
    <hyperlink ref="A26" r:id="rId15" location="'14%20Scenarios'!A1" display="14 Scenarios"/>
    <hyperlink ref="A27" r:id="rId16" location="'15%20Macros'!A1" display="15 Macr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5" t="s">
        <v>65</v>
      </c>
      <c r="B4" s="5" t="s">
        <v>66</v>
      </c>
      <c r="C4" s="5" t="s">
        <v>67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K4" s="5" t="s">
        <v>68</v>
      </c>
      <c r="L4" s="5" t="s">
        <v>69</v>
      </c>
      <c r="M4" s="5" t="s">
        <v>71</v>
      </c>
    </row>
    <row r="5" customFormat="false" ht="15" hidden="false" customHeight="false" outlineLevel="0" collapsed="false">
      <c r="A5" s="7" t="n">
        <v>46027</v>
      </c>
      <c r="B5" s="8" t="s">
        <v>73</v>
      </c>
      <c r="C5" s="8" t="s">
        <v>74</v>
      </c>
      <c r="D5" s="8" t="s">
        <v>75</v>
      </c>
      <c r="E5" s="4" t="str">
        <f aca="false">VLOOKUP(D5,$K$5:$M$9,2,FALSE())</f>
        <v>Hardware</v>
      </c>
      <c r="F5" s="8" t="n">
        <v>4</v>
      </c>
      <c r="G5" s="9" t="n">
        <f aca="false">VLOOKUP(D5,$K$5:$M$9,3,FALSE())</f>
        <v>900</v>
      </c>
      <c r="H5" s="9" t="n">
        <f aca="false">F5*G5</f>
        <v>3600</v>
      </c>
      <c r="K5" s="8" t="s">
        <v>75</v>
      </c>
      <c r="L5" s="8" t="s">
        <v>76</v>
      </c>
      <c r="M5" s="10" t="n">
        <v>900</v>
      </c>
    </row>
    <row r="6" customFormat="false" ht="15" hidden="false" customHeight="false" outlineLevel="0" collapsed="false">
      <c r="A6" s="7" t="n">
        <v>46034</v>
      </c>
      <c r="B6" s="8" t="s">
        <v>77</v>
      </c>
      <c r="C6" s="8" t="s">
        <v>78</v>
      </c>
      <c r="D6" s="8" t="s">
        <v>79</v>
      </c>
      <c r="E6" s="4" t="str">
        <f aca="false">VLOOKUP(D6,$K$5:$M$9,2,FALSE())</f>
        <v>Hardware</v>
      </c>
      <c r="F6" s="8" t="n">
        <v>10</v>
      </c>
      <c r="G6" s="9" t="n">
        <f aca="false">VLOOKUP(D6,$K$5:$M$9,3,FALSE())</f>
        <v>250</v>
      </c>
      <c r="H6" s="9" t="n">
        <f aca="false">F6*G6</f>
        <v>2500</v>
      </c>
      <c r="K6" s="8" t="s">
        <v>79</v>
      </c>
      <c r="L6" s="8" t="s">
        <v>76</v>
      </c>
      <c r="M6" s="10" t="n">
        <v>250</v>
      </c>
    </row>
    <row r="7" customFormat="false" ht="15" hidden="false" customHeight="false" outlineLevel="0" collapsed="false">
      <c r="A7" s="7" t="n">
        <v>46041</v>
      </c>
      <c r="B7" s="8" t="s">
        <v>80</v>
      </c>
      <c r="C7" s="8" t="s">
        <v>81</v>
      </c>
      <c r="D7" s="8" t="s">
        <v>82</v>
      </c>
      <c r="E7" s="4" t="str">
        <f aca="false">VLOOKUP(D7,$K$5:$M$9,2,FALSE())</f>
        <v>Accessories</v>
      </c>
      <c r="F7" s="8" t="n">
        <v>25</v>
      </c>
      <c r="G7" s="9" t="n">
        <f aca="false">VLOOKUP(D7,$K$5:$M$9,3,FALSE())</f>
        <v>40</v>
      </c>
      <c r="H7" s="9" t="n">
        <f aca="false">F7*G7</f>
        <v>1000</v>
      </c>
      <c r="K7" s="8" t="s">
        <v>82</v>
      </c>
      <c r="L7" s="8" t="s">
        <v>83</v>
      </c>
      <c r="M7" s="10" t="n">
        <v>40</v>
      </c>
    </row>
    <row r="8" customFormat="false" ht="15" hidden="false" customHeight="false" outlineLevel="0" collapsed="false">
      <c r="A8" s="7" t="n">
        <v>46048</v>
      </c>
      <c r="B8" s="8" t="s">
        <v>84</v>
      </c>
      <c r="C8" s="8" t="s">
        <v>85</v>
      </c>
      <c r="D8" s="8" t="s">
        <v>86</v>
      </c>
      <c r="E8" s="4" t="str">
        <f aca="false">VLOOKUP(D8,$K$5:$M$9,2,FALSE())</f>
        <v>Accessories</v>
      </c>
      <c r="F8" s="8" t="n">
        <v>40</v>
      </c>
      <c r="G8" s="9" t="n">
        <f aca="false">VLOOKUP(D8,$K$5:$M$9,3,FALSE())</f>
        <v>25</v>
      </c>
      <c r="H8" s="9" t="n">
        <f aca="false">F8*G8</f>
        <v>1000</v>
      </c>
      <c r="K8" s="8" t="s">
        <v>86</v>
      </c>
      <c r="L8" s="8" t="s">
        <v>83</v>
      </c>
      <c r="M8" s="10" t="n">
        <v>25</v>
      </c>
    </row>
    <row r="9" customFormat="false" ht="15" hidden="false" customHeight="false" outlineLevel="0" collapsed="false">
      <c r="A9" s="7" t="n">
        <v>46055</v>
      </c>
      <c r="B9" s="8" t="s">
        <v>73</v>
      </c>
      <c r="C9" s="8" t="s">
        <v>74</v>
      </c>
      <c r="D9" s="8" t="s">
        <v>87</v>
      </c>
      <c r="E9" s="4" t="str">
        <f aca="false">VLOOKUP(D9,$K$5:$M$9,2,FALSE())</f>
        <v>Software</v>
      </c>
      <c r="F9" s="8" t="n">
        <v>15</v>
      </c>
      <c r="G9" s="9" t="n">
        <f aca="false">VLOOKUP(D9,$K$5:$M$9,3,FALSE())</f>
        <v>120</v>
      </c>
      <c r="H9" s="9" t="n">
        <f aca="false">F9*G9</f>
        <v>1800</v>
      </c>
      <c r="K9" s="8" t="s">
        <v>87</v>
      </c>
      <c r="L9" s="8" t="s">
        <v>88</v>
      </c>
      <c r="M9" s="10" t="n">
        <v>120</v>
      </c>
    </row>
    <row r="10" customFormat="false" ht="15" hidden="false" customHeight="false" outlineLevel="0" collapsed="false">
      <c r="A10" s="7" t="n">
        <v>46062</v>
      </c>
      <c r="B10" s="8" t="s">
        <v>77</v>
      </c>
      <c r="C10" s="8" t="s">
        <v>78</v>
      </c>
      <c r="D10" s="8" t="s">
        <v>75</v>
      </c>
      <c r="E10" s="4" t="str">
        <f aca="false">VLOOKUP(D10,$K$5:$M$9,2,FALSE())</f>
        <v>Hardware</v>
      </c>
      <c r="F10" s="8" t="n">
        <v>6</v>
      </c>
      <c r="G10" s="9" t="n">
        <f aca="false">VLOOKUP(D10,$K$5:$M$9,3,FALSE())</f>
        <v>900</v>
      </c>
      <c r="H10" s="9" t="n">
        <f aca="false">F10*G10</f>
        <v>5400</v>
      </c>
    </row>
    <row r="11" customFormat="false" ht="15" hidden="false" customHeight="false" outlineLevel="0" collapsed="false">
      <c r="A11" s="7" t="n">
        <v>46069</v>
      </c>
      <c r="B11" s="8" t="s">
        <v>80</v>
      </c>
      <c r="C11" s="8" t="s">
        <v>81</v>
      </c>
      <c r="D11" s="8" t="s">
        <v>79</v>
      </c>
      <c r="E11" s="4" t="str">
        <f aca="false">VLOOKUP(D11,$K$5:$M$9,2,FALSE())</f>
        <v>Hardware</v>
      </c>
      <c r="F11" s="8" t="n">
        <v>8</v>
      </c>
      <c r="G11" s="9" t="n">
        <f aca="false">VLOOKUP(D11,$K$5:$M$9,3,FALSE())</f>
        <v>250</v>
      </c>
      <c r="H11" s="9" t="n">
        <f aca="false">F11*G11</f>
        <v>2000</v>
      </c>
      <c r="K11" s="2" t="s">
        <v>89</v>
      </c>
    </row>
    <row r="12" customFormat="false" ht="15" hidden="false" customHeight="false" outlineLevel="0" collapsed="false">
      <c r="A12" s="7" t="n">
        <v>46076</v>
      </c>
      <c r="B12" s="8" t="s">
        <v>84</v>
      </c>
      <c r="C12" s="8" t="s">
        <v>85</v>
      </c>
      <c r="D12" s="8" t="s">
        <v>82</v>
      </c>
      <c r="E12" s="4" t="str">
        <f aca="false">VLOOKUP(D12,$K$5:$M$9,2,FALSE())</f>
        <v>Accessories</v>
      </c>
      <c r="F12" s="8" t="n">
        <v>30</v>
      </c>
      <c r="G12" s="9" t="n">
        <f aca="false">VLOOKUP(D12,$K$5:$M$9,3,FALSE())</f>
        <v>40</v>
      </c>
      <c r="H12" s="9" t="n">
        <f aca="false">F12*G12</f>
        <v>1200</v>
      </c>
    </row>
    <row r="13" customFormat="false" ht="15" hidden="false" customHeight="false" outlineLevel="0" collapsed="false">
      <c r="A13" s="7" t="n">
        <v>46083</v>
      </c>
      <c r="B13" s="8" t="s">
        <v>73</v>
      </c>
      <c r="C13" s="8" t="s">
        <v>74</v>
      </c>
      <c r="D13" s="8" t="s">
        <v>86</v>
      </c>
      <c r="E13" s="4" t="str">
        <f aca="false">VLOOKUP(D13,$K$5:$M$9,2,FALSE())</f>
        <v>Accessories</v>
      </c>
      <c r="F13" s="8" t="n">
        <v>50</v>
      </c>
      <c r="G13" s="9" t="n">
        <f aca="false">VLOOKUP(D13,$K$5:$M$9,3,FALSE())</f>
        <v>25</v>
      </c>
      <c r="H13" s="9" t="n">
        <f aca="false">F13*G13</f>
        <v>1250</v>
      </c>
    </row>
    <row r="14" customFormat="false" ht="15" hidden="false" customHeight="false" outlineLevel="0" collapsed="false">
      <c r="A14" s="7" t="n">
        <v>46090</v>
      </c>
      <c r="B14" s="8" t="s">
        <v>77</v>
      </c>
      <c r="C14" s="8" t="s">
        <v>78</v>
      </c>
      <c r="D14" s="8" t="s">
        <v>87</v>
      </c>
      <c r="E14" s="4" t="str">
        <f aca="false">VLOOKUP(D14,$K$5:$M$9,2,FALSE())</f>
        <v>Software</v>
      </c>
      <c r="F14" s="8" t="n">
        <v>20</v>
      </c>
      <c r="G14" s="9" t="n">
        <f aca="false">VLOOKUP(D14,$K$5:$M$9,3,FALSE())</f>
        <v>120</v>
      </c>
      <c r="H14" s="9" t="n">
        <f aca="false">F14*G14</f>
        <v>2400</v>
      </c>
    </row>
    <row r="15" customFormat="false" ht="15" hidden="false" customHeight="false" outlineLevel="0" collapsed="false">
      <c r="A15" s="7" t="n">
        <v>46097</v>
      </c>
      <c r="B15" s="8" t="s">
        <v>80</v>
      </c>
      <c r="C15" s="8" t="s">
        <v>81</v>
      </c>
      <c r="D15" s="8" t="s">
        <v>75</v>
      </c>
      <c r="E15" s="4" t="str">
        <f aca="false">VLOOKUP(D15,$K$5:$M$9,2,FALSE())</f>
        <v>Hardware</v>
      </c>
      <c r="F15" s="8" t="n">
        <v>3</v>
      </c>
      <c r="G15" s="9" t="n">
        <f aca="false">VLOOKUP(D15,$K$5:$M$9,3,FALSE())</f>
        <v>900</v>
      </c>
      <c r="H15" s="9" t="n">
        <f aca="false">F15*G15</f>
        <v>2700</v>
      </c>
    </row>
    <row r="16" customFormat="false" ht="15" hidden="false" customHeight="false" outlineLevel="0" collapsed="false">
      <c r="A16" s="7" t="n">
        <v>46104</v>
      </c>
      <c r="B16" s="8" t="s">
        <v>84</v>
      </c>
      <c r="C16" s="8" t="s">
        <v>85</v>
      </c>
      <c r="D16" s="8" t="s">
        <v>79</v>
      </c>
      <c r="E16" s="4" t="str">
        <f aca="false">VLOOKUP(D16,$K$5:$M$9,2,FALSE())</f>
        <v>Hardware</v>
      </c>
      <c r="F16" s="8" t="n">
        <v>12</v>
      </c>
      <c r="G16" s="9" t="n">
        <f aca="false">VLOOKUP(D16,$K$5:$M$9,3,FALSE())</f>
        <v>250</v>
      </c>
      <c r="H16" s="9" t="n">
        <f aca="false">F16*G16</f>
        <v>3000</v>
      </c>
    </row>
    <row r="17" customFormat="false" ht="15" hidden="false" customHeight="false" outlineLevel="0" collapsed="false">
      <c r="A17" s="7" t="n">
        <v>46118</v>
      </c>
      <c r="B17" s="8" t="s">
        <v>73</v>
      </c>
      <c r="C17" s="8" t="s">
        <v>74</v>
      </c>
      <c r="D17" s="8" t="s">
        <v>82</v>
      </c>
      <c r="E17" s="4" t="str">
        <f aca="false">VLOOKUP(D17,$K$5:$M$9,2,FALSE())</f>
        <v>Accessories</v>
      </c>
      <c r="F17" s="8" t="n">
        <v>20</v>
      </c>
      <c r="G17" s="9" t="n">
        <f aca="false">VLOOKUP(D17,$K$5:$M$9,3,FALSE())</f>
        <v>40</v>
      </c>
      <c r="H17" s="9" t="n">
        <f aca="false">F17*G17</f>
        <v>800</v>
      </c>
    </row>
    <row r="18" customFormat="false" ht="15" hidden="false" customHeight="false" outlineLevel="0" collapsed="false">
      <c r="A18" s="7" t="n">
        <v>46125</v>
      </c>
      <c r="B18" s="8" t="s">
        <v>77</v>
      </c>
      <c r="C18" s="8" t="s">
        <v>78</v>
      </c>
      <c r="D18" s="8" t="s">
        <v>86</v>
      </c>
      <c r="E18" s="4" t="str">
        <f aca="false">VLOOKUP(D18,$K$5:$M$9,2,FALSE())</f>
        <v>Accessories</v>
      </c>
      <c r="F18" s="8" t="n">
        <v>35</v>
      </c>
      <c r="G18" s="9" t="n">
        <f aca="false">VLOOKUP(D18,$K$5:$M$9,3,FALSE())</f>
        <v>25</v>
      </c>
      <c r="H18" s="9" t="n">
        <f aca="false">F18*G18</f>
        <v>875</v>
      </c>
    </row>
    <row r="19" customFormat="false" ht="15" hidden="false" customHeight="false" outlineLevel="0" collapsed="false">
      <c r="A19" s="7" t="n">
        <v>46132</v>
      </c>
      <c r="B19" s="8" t="s">
        <v>80</v>
      </c>
      <c r="C19" s="8" t="s">
        <v>81</v>
      </c>
      <c r="D19" s="8" t="s">
        <v>87</v>
      </c>
      <c r="E19" s="4" t="str">
        <f aca="false">VLOOKUP(D19,$K$5:$M$9,2,FALSE())</f>
        <v>Software</v>
      </c>
      <c r="F19" s="8" t="n">
        <v>10</v>
      </c>
      <c r="G19" s="9" t="n">
        <f aca="false">VLOOKUP(D19,$K$5:$M$9,3,FALSE())</f>
        <v>120</v>
      </c>
      <c r="H19" s="9" t="n">
        <f aca="false">F19*G19</f>
        <v>1200</v>
      </c>
    </row>
    <row r="20" customFormat="false" ht="15" hidden="false" customHeight="false" outlineLevel="0" collapsed="false">
      <c r="A20" s="7" t="n">
        <v>46139</v>
      </c>
      <c r="B20" s="8" t="s">
        <v>84</v>
      </c>
      <c r="C20" s="8" t="s">
        <v>85</v>
      </c>
      <c r="D20" s="8" t="s">
        <v>75</v>
      </c>
      <c r="E20" s="4" t="str">
        <f aca="false">VLOOKUP(D20,$K$5:$M$9,2,FALSE())</f>
        <v>Hardware</v>
      </c>
      <c r="F20" s="8" t="n">
        <v>5</v>
      </c>
      <c r="G20" s="9" t="n">
        <f aca="false">VLOOKUP(D20,$K$5:$M$9,3,FALSE())</f>
        <v>900</v>
      </c>
      <c r="H20" s="9" t="n">
        <f aca="false">F20*G20</f>
        <v>4500</v>
      </c>
    </row>
    <row r="21" customFormat="false" ht="15" hidden="false" customHeight="false" outlineLevel="0" collapsed="false">
      <c r="A21" s="7" t="n">
        <v>46146</v>
      </c>
      <c r="B21" s="8" t="s">
        <v>73</v>
      </c>
      <c r="C21" s="8" t="s">
        <v>74</v>
      </c>
      <c r="D21" s="8" t="s">
        <v>79</v>
      </c>
      <c r="E21" s="4" t="str">
        <f aca="false">VLOOKUP(D21,$K$5:$M$9,2,FALSE())</f>
        <v>Hardware</v>
      </c>
      <c r="F21" s="8" t="n">
        <v>9</v>
      </c>
      <c r="G21" s="9" t="n">
        <f aca="false">VLOOKUP(D21,$K$5:$M$9,3,FALSE())</f>
        <v>250</v>
      </c>
      <c r="H21" s="9" t="n">
        <f aca="false">F21*G21</f>
        <v>2250</v>
      </c>
    </row>
    <row r="22" customFormat="false" ht="15" hidden="false" customHeight="false" outlineLevel="0" collapsed="false">
      <c r="A22" s="7" t="n">
        <v>46153</v>
      </c>
      <c r="B22" s="8" t="s">
        <v>77</v>
      </c>
      <c r="C22" s="8" t="s">
        <v>78</v>
      </c>
      <c r="D22" s="8" t="s">
        <v>82</v>
      </c>
      <c r="E22" s="4" t="str">
        <f aca="false">VLOOKUP(D22,$K$5:$M$9,2,FALSE())</f>
        <v>Accessories</v>
      </c>
      <c r="F22" s="8" t="n">
        <v>15</v>
      </c>
      <c r="G22" s="9" t="n">
        <f aca="false">VLOOKUP(D22,$K$5:$M$9,3,FALSE())</f>
        <v>40</v>
      </c>
      <c r="H22" s="9" t="n">
        <f aca="false">F22*G22</f>
        <v>600</v>
      </c>
    </row>
    <row r="23" customFormat="false" ht="15" hidden="false" customHeight="false" outlineLevel="0" collapsed="false">
      <c r="A23" s="7" t="n">
        <v>46160</v>
      </c>
      <c r="B23" s="8" t="s">
        <v>80</v>
      </c>
      <c r="C23" s="8" t="s">
        <v>81</v>
      </c>
      <c r="D23" s="8" t="s">
        <v>86</v>
      </c>
      <c r="E23" s="4" t="str">
        <f aca="false">VLOOKUP(D23,$K$5:$M$9,2,FALSE())</f>
        <v>Accessories</v>
      </c>
      <c r="F23" s="8" t="n">
        <v>60</v>
      </c>
      <c r="G23" s="9" t="n">
        <f aca="false">VLOOKUP(D23,$K$5:$M$9,3,FALSE())</f>
        <v>25</v>
      </c>
      <c r="H23" s="9" t="n">
        <f aca="false">F23*G23</f>
        <v>1500</v>
      </c>
    </row>
    <row r="24" customFormat="false" ht="15" hidden="false" customHeight="false" outlineLevel="0" collapsed="false">
      <c r="A24" s="7" t="n">
        <v>46167</v>
      </c>
      <c r="B24" s="8" t="s">
        <v>84</v>
      </c>
      <c r="C24" s="8" t="s">
        <v>85</v>
      </c>
      <c r="D24" s="8" t="s">
        <v>87</v>
      </c>
      <c r="E24" s="4" t="str">
        <f aca="false">VLOOKUP(D24,$K$5:$M$9,2,FALSE())</f>
        <v>Software</v>
      </c>
      <c r="F24" s="8" t="n">
        <v>25</v>
      </c>
      <c r="G24" s="9" t="n">
        <f aca="false">VLOOKUP(D24,$K$5:$M$9,3,FALSE())</f>
        <v>120</v>
      </c>
      <c r="H24" s="9" t="n">
        <f aca="false">F24*G24</f>
        <v>3000</v>
      </c>
    </row>
    <row r="26" customFormat="false" ht="15" hidden="false" customHeight="false" outlineLevel="0" collapsed="false">
      <c r="E26" s="3" t="s">
        <v>90</v>
      </c>
      <c r="F26" s="3" t="n">
        <f aca="false">SUM(F5:F24)</f>
        <v>402</v>
      </c>
      <c r="H26" s="11" t="n">
        <f aca="false">SUM(H5:H24)</f>
        <v>42575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3"/>
    <col collapsed="false" customWidth="true" hidden="false" outlineLevel="0" max="8" min="6" style="0" width="12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5" t="s">
        <v>92</v>
      </c>
      <c r="B4" s="5" t="s">
        <v>93</v>
      </c>
      <c r="C4" s="5" t="s">
        <v>72</v>
      </c>
      <c r="D4" s="5" t="s">
        <v>70</v>
      </c>
    </row>
    <row r="5" customFormat="false" ht="15" hidden="false" customHeight="false" outlineLevel="0" collapsed="false">
      <c r="A5" s="7" t="n">
        <v>46023</v>
      </c>
      <c r="B5" s="4" t="str">
        <f aca="false">TEXT(A5,"mmm")</f>
        <v>Jan</v>
      </c>
      <c r="C5" s="12" t="n">
        <f aca="false">SUMIFS(Data!$H$5:$H$24,Data!$A$5:$A$24,"&gt;="&amp;A5,Data!$A$5:$A$24,"&lt;="&amp;EOMONTH(A5,0))</f>
        <v>8100</v>
      </c>
      <c r="D5" s="13" t="n">
        <f aca="false">SUMIFS(Data!$F$5:$F$24,Data!$A$5:$A$24,"&gt;="&amp;A5,Data!$A$5:$A$24,"&lt;="&amp;EOMONTH(A5,0))</f>
        <v>79</v>
      </c>
    </row>
    <row r="6" customFormat="false" ht="15" hidden="false" customHeight="false" outlineLevel="0" collapsed="false">
      <c r="A6" s="7" t="n">
        <v>46054</v>
      </c>
      <c r="B6" s="4" t="str">
        <f aca="false">TEXT(A6,"mmm")</f>
        <v>Feb</v>
      </c>
      <c r="C6" s="12" t="n">
        <f aca="false">SUMIFS(Data!$H$5:$H$24,Data!$A$5:$A$24,"&gt;="&amp;A6,Data!$A$5:$A$24,"&lt;="&amp;EOMONTH(A6,0))</f>
        <v>10400</v>
      </c>
      <c r="D6" s="13" t="n">
        <f aca="false">SUMIFS(Data!$F$5:$F$24,Data!$A$5:$A$24,"&gt;="&amp;A6,Data!$A$5:$A$24,"&lt;="&amp;EOMONTH(A6,0))</f>
        <v>59</v>
      </c>
    </row>
    <row r="7" customFormat="false" ht="15" hidden="false" customHeight="false" outlineLevel="0" collapsed="false">
      <c r="A7" s="7" t="n">
        <v>46082</v>
      </c>
      <c r="B7" s="4" t="str">
        <f aca="false">TEXT(A7,"mmm")</f>
        <v>Mar</v>
      </c>
      <c r="C7" s="12" t="n">
        <f aca="false">SUMIFS(Data!$H$5:$H$24,Data!$A$5:$A$24,"&gt;="&amp;A7,Data!$A$5:$A$24,"&lt;="&amp;EOMONTH(A7,0))</f>
        <v>9350</v>
      </c>
      <c r="D7" s="13" t="n">
        <f aca="false">SUMIFS(Data!$F$5:$F$24,Data!$A$5:$A$24,"&gt;="&amp;A7,Data!$A$5:$A$24,"&lt;="&amp;EOMONTH(A7,0))</f>
        <v>85</v>
      </c>
    </row>
    <row r="8" customFormat="false" ht="15" hidden="false" customHeight="false" outlineLevel="0" collapsed="false">
      <c r="A8" s="7" t="n">
        <v>46113</v>
      </c>
      <c r="B8" s="4" t="str">
        <f aca="false">TEXT(A8,"mmm")</f>
        <v>Apr</v>
      </c>
      <c r="C8" s="12" t="n">
        <f aca="false">SUMIFS(Data!$H$5:$H$24,Data!$A$5:$A$24,"&gt;="&amp;A8,Data!$A$5:$A$24,"&lt;="&amp;EOMONTH(A8,0))</f>
        <v>7375</v>
      </c>
      <c r="D8" s="13" t="n">
        <f aca="false">SUMIFS(Data!$F$5:$F$24,Data!$A$5:$A$24,"&gt;="&amp;A8,Data!$A$5:$A$24,"&lt;="&amp;EOMONTH(A8,0))</f>
        <v>70</v>
      </c>
    </row>
    <row r="9" customFormat="false" ht="15" hidden="false" customHeight="false" outlineLevel="0" collapsed="false">
      <c r="A9" s="7" t="n">
        <v>46143</v>
      </c>
      <c r="B9" s="4" t="str">
        <f aca="false">TEXT(A9,"mmm")</f>
        <v>May</v>
      </c>
      <c r="C9" s="12" t="n">
        <f aca="false">SUMIFS(Data!$H$5:$H$24,Data!$A$5:$A$24,"&gt;="&amp;A9,Data!$A$5:$A$24,"&lt;="&amp;EOMONTH(A9,0))</f>
        <v>7350</v>
      </c>
      <c r="D9" s="13" t="n">
        <f aca="false">SUMIFS(Data!$F$5:$F$24,Data!$A$5:$A$24,"&gt;="&amp;A9,Data!$A$5:$A$24,"&lt;="&amp;EOMONTH(A9,0))</f>
        <v>109</v>
      </c>
    </row>
    <row r="10" customFormat="false" ht="15" hidden="false" customHeight="false" outlineLevel="0" collapsed="false">
      <c r="B10" s="3" t="s">
        <v>90</v>
      </c>
      <c r="C10" s="11" t="n">
        <f aca="false">SUM(C5:C9)</f>
        <v>42575</v>
      </c>
      <c r="D10" s="3" t="n">
        <f aca="false">SUM(D5:D9)</f>
        <v>402</v>
      </c>
    </row>
    <row r="13" customFormat="false" ht="15" hidden="false" customHeight="false" outlineLevel="0" collapsed="false">
      <c r="A13" s="5" t="s">
        <v>66</v>
      </c>
      <c r="B13" s="5" t="s">
        <v>72</v>
      </c>
      <c r="C13" s="5" t="s">
        <v>94</v>
      </c>
    </row>
    <row r="14" customFormat="false" ht="15" hidden="false" customHeight="false" outlineLevel="0" collapsed="false">
      <c r="A14" s="4" t="s">
        <v>73</v>
      </c>
      <c r="B14" s="12" t="n">
        <f aca="false">SUMIFS(Data!$H$5:$H$24,Data!$B$5:$B$24,A14)</f>
        <v>9700</v>
      </c>
      <c r="C14" s="14" t="n">
        <f aca="false">B14/$B$18</f>
        <v>0.227833235466823</v>
      </c>
    </row>
    <row r="15" customFormat="false" ht="15" hidden="false" customHeight="false" outlineLevel="0" collapsed="false">
      <c r="A15" s="4" t="s">
        <v>77</v>
      </c>
      <c r="B15" s="12" t="n">
        <f aca="false">SUMIFS(Data!$H$5:$H$24,Data!$B$5:$B$24,A15)</f>
        <v>11775</v>
      </c>
      <c r="C15" s="14" t="n">
        <f aca="false">B15/$B$18</f>
        <v>0.276570757486788</v>
      </c>
    </row>
    <row r="16" customFormat="false" ht="15" hidden="false" customHeight="false" outlineLevel="0" collapsed="false">
      <c r="A16" s="4" t="s">
        <v>80</v>
      </c>
      <c r="B16" s="12" t="n">
        <f aca="false">SUMIFS(Data!$H$5:$H$24,Data!$B$5:$B$24,A16)</f>
        <v>8400</v>
      </c>
      <c r="C16" s="14" t="n">
        <f aca="false">B16/$B$18</f>
        <v>0.197298884321785</v>
      </c>
    </row>
    <row r="17" customFormat="false" ht="15" hidden="false" customHeight="false" outlineLevel="0" collapsed="false">
      <c r="A17" s="4" t="s">
        <v>84</v>
      </c>
      <c r="B17" s="12" t="n">
        <f aca="false">SUMIFS(Data!$H$5:$H$24,Data!$B$5:$B$24,A17)</f>
        <v>12700</v>
      </c>
      <c r="C17" s="14" t="n">
        <f aca="false">B17/$B$18</f>
        <v>0.298297122724604</v>
      </c>
    </row>
    <row r="18" customFormat="false" ht="15" hidden="false" customHeight="false" outlineLevel="0" collapsed="false">
      <c r="A18" s="3" t="s">
        <v>90</v>
      </c>
      <c r="B18" s="11" t="n">
        <f aca="false">SUM(B14:B17)</f>
        <v>42575</v>
      </c>
    </row>
    <row r="21" customFormat="false" ht="15" hidden="false" customHeight="false" outlineLevel="0" collapsed="false">
      <c r="A21" s="3" t="s">
        <v>95</v>
      </c>
    </row>
    <row r="22" customFormat="false" ht="15" hidden="false" customHeight="false" outlineLevel="0" collapsed="false">
      <c r="A22" s="4" t="s">
        <v>96</v>
      </c>
    </row>
    <row r="23" customFormat="false" ht="15" hidden="false" customHeight="false" outlineLevel="0" collapsed="false">
      <c r="A23" s="4" t="s">
        <v>97</v>
      </c>
    </row>
    <row r="24" customFormat="false" ht="15" hidden="false" customHeight="false" outlineLevel="0" collapsed="false">
      <c r="A24" s="4" t="s">
        <v>98</v>
      </c>
    </row>
    <row r="25" customFormat="false" ht="15" hidden="false" customHeight="false" outlineLevel="0" collapsed="false">
      <c r="A25" s="4" t="s">
        <v>99</v>
      </c>
    </row>
    <row r="26" customFormat="false" ht="15" hidden="false" customHeight="false" outlineLevel="0" collapsed="false">
      <c r="A26" s="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false" outlineLevel="0" collapsed="false">
      <c r="A4" s="4" t="s">
        <v>102</v>
      </c>
      <c r="B4" s="7" t="n">
        <v>46037</v>
      </c>
    </row>
    <row r="5" customFormat="false" ht="15" hidden="false" customHeight="false" outlineLevel="0" collapsed="false">
      <c r="A5" s="4" t="s">
        <v>103</v>
      </c>
      <c r="B5" s="7" t="n">
        <v>46303</v>
      </c>
    </row>
    <row r="6" customFormat="false" ht="15" hidden="false" customHeight="false" outlineLevel="0" collapsed="false">
      <c r="A6" s="4" t="s">
        <v>104</v>
      </c>
      <c r="B6" s="15" t="n">
        <v>0.354166666666667</v>
      </c>
    </row>
    <row r="7" customFormat="false" ht="15" hidden="false" customHeight="false" outlineLevel="0" collapsed="false">
      <c r="A7" s="4" t="s">
        <v>105</v>
      </c>
      <c r="B7" s="15" t="n">
        <v>0.71875</v>
      </c>
    </row>
    <row r="9" customFormat="false" ht="15" hidden="false" customHeight="false" outlineLevel="0" collapsed="false">
      <c r="A9" s="5" t="s">
        <v>106</v>
      </c>
      <c r="B9" s="5" t="s">
        <v>107</v>
      </c>
      <c r="C9" s="5" t="s">
        <v>108</v>
      </c>
      <c r="D9" s="5" t="s">
        <v>109</v>
      </c>
    </row>
    <row r="10" customFormat="false" ht="15" hidden="false" customHeight="false" outlineLevel="0" collapsed="false">
      <c r="A10" s="4" t="s">
        <v>110</v>
      </c>
      <c r="B10" s="16" t="s">
        <v>111</v>
      </c>
      <c r="C10" s="17" t="n">
        <f aca="true">TODAY()</f>
        <v>46303</v>
      </c>
      <c r="D10" s="2" t="s">
        <v>112</v>
      </c>
    </row>
    <row r="11" customFormat="false" ht="15" hidden="false" customHeight="false" outlineLevel="0" collapsed="false">
      <c r="A11" s="4" t="s">
        <v>113</v>
      </c>
      <c r="B11" s="16" t="s">
        <v>114</v>
      </c>
      <c r="C11" s="18" t="n">
        <f aca="true">NOW()</f>
        <v>46303.7777270091</v>
      </c>
      <c r="D11" s="2" t="s">
        <v>115</v>
      </c>
    </row>
    <row r="12" customFormat="false" ht="15" hidden="false" customHeight="false" outlineLevel="0" collapsed="false">
      <c r="A12" s="4" t="s">
        <v>116</v>
      </c>
      <c r="B12" s="16" t="s">
        <v>117</v>
      </c>
      <c r="C12" s="17" t="n">
        <f aca="false">DATE(2026,12,25)</f>
        <v>46381</v>
      </c>
      <c r="D12" s="2" t="s">
        <v>118</v>
      </c>
    </row>
    <row r="13" customFormat="false" ht="15" hidden="false" customHeight="false" outlineLevel="0" collapsed="false">
      <c r="A13" s="4" t="s">
        <v>119</v>
      </c>
      <c r="B13" s="16" t="s">
        <v>120</v>
      </c>
      <c r="C13" s="19" t="n">
        <f aca="false">YEAR(B4)</f>
        <v>2026</v>
      </c>
      <c r="D13" s="2" t="s">
        <v>121</v>
      </c>
    </row>
    <row r="14" customFormat="false" ht="15" hidden="false" customHeight="false" outlineLevel="0" collapsed="false">
      <c r="A14" s="4" t="s">
        <v>122</v>
      </c>
      <c r="B14" s="16" t="s">
        <v>123</v>
      </c>
      <c r="C14" s="19" t="n">
        <f aca="false">MONTH(B4)</f>
        <v>1</v>
      </c>
      <c r="D14" s="2"/>
    </row>
    <row r="15" customFormat="false" ht="15" hidden="false" customHeight="false" outlineLevel="0" collapsed="false">
      <c r="A15" s="4" t="s">
        <v>124</v>
      </c>
      <c r="B15" s="16" t="s">
        <v>125</v>
      </c>
      <c r="C15" s="19" t="n">
        <f aca="false">DAY(B4)</f>
        <v>15</v>
      </c>
      <c r="D15" s="2"/>
    </row>
    <row r="16" customFormat="false" ht="15" hidden="false" customHeight="false" outlineLevel="0" collapsed="false">
      <c r="A16" s="4" t="s">
        <v>126</v>
      </c>
      <c r="B16" s="16" t="s">
        <v>127</v>
      </c>
      <c r="C16" s="19" t="n">
        <f aca="false">B4</f>
        <v>46037</v>
      </c>
      <c r="D16" s="2" t="s">
        <v>128</v>
      </c>
    </row>
    <row r="17" customFormat="false" ht="15" hidden="false" customHeight="false" outlineLevel="0" collapsed="false">
      <c r="A17" s="4" t="s">
        <v>129</v>
      </c>
      <c r="B17" s="16" t="s">
        <v>130</v>
      </c>
      <c r="C17" s="19" t="n">
        <f aca="false">B5-B4</f>
        <v>266</v>
      </c>
      <c r="D17" s="2" t="s">
        <v>131</v>
      </c>
    </row>
    <row r="18" customFormat="false" ht="15" hidden="false" customHeight="false" outlineLevel="0" collapsed="false">
      <c r="A18" s="4" t="s">
        <v>132</v>
      </c>
      <c r="B18" s="16" t="s">
        <v>133</v>
      </c>
      <c r="C18" s="19" t="n">
        <f aca="false">DATEDIF(B4,B5,"m")</f>
        <v>8</v>
      </c>
      <c r="D18" s="2" t="s">
        <v>134</v>
      </c>
    </row>
    <row r="19" customFormat="false" ht="15" hidden="false" customHeight="false" outlineLevel="0" collapsed="false">
      <c r="A19" s="4" t="s">
        <v>135</v>
      </c>
      <c r="B19" s="16" t="s">
        <v>136</v>
      </c>
      <c r="C19" s="20" t="n">
        <f aca="false">YEARFRAC(B4,B5)</f>
        <v>0.730555555555556</v>
      </c>
      <c r="D19" s="2" t="s">
        <v>137</v>
      </c>
    </row>
    <row r="20" customFormat="false" ht="15" hidden="false" customHeight="false" outlineLevel="0" collapsed="false">
      <c r="A20" s="4" t="s">
        <v>138</v>
      </c>
      <c r="B20" s="16" t="s">
        <v>139</v>
      </c>
      <c r="C20" s="17" t="n">
        <f aca="false">EDATE(B4,3)</f>
        <v>46127</v>
      </c>
      <c r="D20" s="2" t="s">
        <v>140</v>
      </c>
    </row>
    <row r="21" customFormat="false" ht="15" hidden="false" customHeight="false" outlineLevel="0" collapsed="false">
      <c r="A21" s="4" t="s">
        <v>141</v>
      </c>
      <c r="B21" s="16" t="s">
        <v>142</v>
      </c>
      <c r="C21" s="17" t="n">
        <f aca="false">EOMONTH(B4,0)</f>
        <v>46053</v>
      </c>
      <c r="D21" s="2" t="s">
        <v>143</v>
      </c>
    </row>
    <row r="22" customFormat="false" ht="15" hidden="false" customHeight="false" outlineLevel="0" collapsed="false">
      <c r="A22" s="4" t="s">
        <v>144</v>
      </c>
      <c r="B22" s="16" t="s">
        <v>145</v>
      </c>
      <c r="C22" s="19" t="n">
        <f aca="false">WEEKDAY(B4)</f>
        <v>5</v>
      </c>
      <c r="D22" s="2" t="s">
        <v>146</v>
      </c>
    </row>
    <row r="23" customFormat="false" ht="15" hidden="false" customHeight="false" outlineLevel="0" collapsed="false">
      <c r="A23" s="4" t="s">
        <v>147</v>
      </c>
      <c r="B23" s="16" t="s">
        <v>148</v>
      </c>
      <c r="C23" s="21" t="str">
        <f aca="false">TEXT(B4,"dddd")</f>
        <v>Thursday</v>
      </c>
      <c r="D23" s="2" t="s">
        <v>149</v>
      </c>
    </row>
    <row r="24" customFormat="false" ht="15" hidden="false" customHeight="false" outlineLevel="0" collapsed="false">
      <c r="A24" s="4" t="s">
        <v>150</v>
      </c>
      <c r="B24" s="16" t="s">
        <v>151</v>
      </c>
      <c r="C24" s="19" t="n">
        <f aca="false">WEEKNUM(B4,1)</f>
        <v>3</v>
      </c>
      <c r="D24" s="2"/>
    </row>
    <row r="25" customFormat="false" ht="15" hidden="false" customHeight="false" outlineLevel="0" collapsed="false">
      <c r="A25" s="4" t="s">
        <v>152</v>
      </c>
      <c r="B25" s="16" t="s">
        <v>153</v>
      </c>
      <c r="C25" s="19" t="n">
        <f aca="false">NETWORKDAYS(B4,B5)</f>
        <v>191</v>
      </c>
      <c r="D25" s="2" t="s">
        <v>154</v>
      </c>
    </row>
    <row r="26" customFormat="false" ht="15" hidden="false" customHeight="false" outlineLevel="0" collapsed="false">
      <c r="A26" s="4" t="s">
        <v>155</v>
      </c>
      <c r="B26" s="16" t="s">
        <v>156</v>
      </c>
      <c r="C26" s="17" t="n">
        <f aca="false">WORKDAY(B4,10)</f>
        <v>46051</v>
      </c>
      <c r="D26" s="2" t="s">
        <v>157</v>
      </c>
    </row>
    <row r="27" customFormat="false" ht="15" hidden="false" customHeight="false" outlineLevel="0" collapsed="false">
      <c r="A27" s="4" t="s">
        <v>158</v>
      </c>
      <c r="B27" s="16" t="s">
        <v>159</v>
      </c>
      <c r="C27" s="22" t="n">
        <f aca="false">(B7-B6)*24</f>
        <v>8.75</v>
      </c>
      <c r="D27" s="2" t="s">
        <v>160</v>
      </c>
    </row>
    <row r="28" customFormat="false" ht="15" hidden="false" customHeight="false" outlineLevel="0" collapsed="false">
      <c r="A28" s="4" t="s">
        <v>161</v>
      </c>
      <c r="B28" s="16" t="s">
        <v>162</v>
      </c>
      <c r="C28" s="19" t="n">
        <f aca="false">HOUR(B6)</f>
        <v>8</v>
      </c>
      <c r="D28" s="2" t="s">
        <v>163</v>
      </c>
    </row>
    <row r="29" customFormat="false" ht="15" hidden="false" customHeight="false" outlineLevel="0" collapsed="false">
      <c r="A29" s="4" t="s">
        <v>164</v>
      </c>
      <c r="B29" s="16" t="s">
        <v>165</v>
      </c>
      <c r="C29" s="23" t="n">
        <f aca="false">TIME(14,30,0)</f>
        <v>0.604166666666667</v>
      </c>
      <c r="D29" s="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3" t="s">
        <v>168</v>
      </c>
    </row>
    <row r="5" customFormat="false" ht="15" hidden="false" customHeight="false" outlineLevel="0" collapsed="false">
      <c r="A5" s="4" t="s">
        <v>169</v>
      </c>
    </row>
    <row r="6" customFormat="false" ht="15" hidden="false" customHeight="false" outlineLevel="0" collapsed="false">
      <c r="A6" s="4" t="s">
        <v>170</v>
      </c>
    </row>
    <row r="7" customFormat="false" ht="15" hidden="false" customHeight="false" outlineLevel="0" collapsed="false">
      <c r="A7" s="4" t="s">
        <v>171</v>
      </c>
    </row>
    <row r="8" customFormat="false" ht="15" hidden="false" customHeight="false" outlineLevel="0" collapsed="false">
      <c r="A8" s="4" t="s">
        <v>172</v>
      </c>
    </row>
    <row r="9" customFormat="false" ht="15" hidden="false" customHeight="false" outlineLevel="0" collapsed="false">
      <c r="A9" s="4" t="s">
        <v>173</v>
      </c>
    </row>
    <row r="10" customFormat="false" ht="15" hidden="false" customHeight="false" outlineLevel="0" collapsed="false">
      <c r="A10" s="4" t="s">
        <v>174</v>
      </c>
    </row>
    <row r="11" customFormat="false" ht="15" hidden="false" customHeight="false" outlineLevel="0" collapsed="false">
      <c r="A11" s="4" t="s">
        <v>175</v>
      </c>
    </row>
    <row r="12" customFormat="false" ht="15" hidden="false" customHeight="false" outlineLevel="0" collapsed="false">
      <c r="A12" s="4" t="s">
        <v>176</v>
      </c>
    </row>
    <row r="15" customFormat="false" ht="15" hidden="false" customHeight="false" outlineLevel="0" collapsed="false">
      <c r="A15" s="3" t="s">
        <v>177</v>
      </c>
    </row>
    <row r="16" customFormat="false" ht="15" hidden="false" customHeight="false" outlineLevel="0" collapsed="false">
      <c r="A16" s="5" t="s">
        <v>66</v>
      </c>
      <c r="B16" s="5" t="s">
        <v>76</v>
      </c>
      <c r="C16" s="5" t="s">
        <v>83</v>
      </c>
      <c r="D16" s="5" t="s">
        <v>88</v>
      </c>
      <c r="E16" s="5" t="s">
        <v>178</v>
      </c>
    </row>
    <row r="17" customFormat="false" ht="15" hidden="false" customHeight="false" outlineLevel="0" collapsed="false">
      <c r="A17" s="24" t="s">
        <v>73</v>
      </c>
      <c r="B17" s="25" t="n">
        <f aca="false">SUMIFS(Data!$H$5:$H$24,Data!$B$5:$B$24,$A17,Data!$E$5:$E$24,B$16)</f>
        <v>5850</v>
      </c>
      <c r="C17" s="25" t="n">
        <f aca="false">SUMIFS(Data!$H$5:$H$24,Data!$B$5:$B$24,$A17,Data!$E$5:$E$24,C$16)</f>
        <v>2050</v>
      </c>
      <c r="D17" s="25" t="n">
        <f aca="false">SUMIFS(Data!$H$5:$H$24,Data!$B$5:$B$24,$A17,Data!$E$5:$E$24,D$16)</f>
        <v>1800</v>
      </c>
      <c r="E17" s="26" t="n">
        <f aca="false">SUM(B17:D17)</f>
        <v>9700</v>
      </c>
    </row>
    <row r="18" customFormat="false" ht="15" hidden="false" customHeight="false" outlineLevel="0" collapsed="false">
      <c r="A18" s="24" t="s">
        <v>77</v>
      </c>
      <c r="B18" s="25" t="n">
        <f aca="false">SUMIFS(Data!$H$5:$H$24,Data!$B$5:$B$24,$A18,Data!$E$5:$E$24,B$16)</f>
        <v>7900</v>
      </c>
      <c r="C18" s="25" t="n">
        <f aca="false">SUMIFS(Data!$H$5:$H$24,Data!$B$5:$B$24,$A18,Data!$E$5:$E$24,C$16)</f>
        <v>1475</v>
      </c>
      <c r="D18" s="25" t="n">
        <f aca="false">SUMIFS(Data!$H$5:$H$24,Data!$B$5:$B$24,$A18,Data!$E$5:$E$24,D$16)</f>
        <v>2400</v>
      </c>
      <c r="E18" s="26" t="n">
        <f aca="false">SUM(B18:D18)</f>
        <v>11775</v>
      </c>
    </row>
    <row r="19" customFormat="false" ht="15" hidden="false" customHeight="false" outlineLevel="0" collapsed="false">
      <c r="A19" s="24" t="s">
        <v>80</v>
      </c>
      <c r="B19" s="25" t="n">
        <f aca="false">SUMIFS(Data!$H$5:$H$24,Data!$B$5:$B$24,$A19,Data!$E$5:$E$24,B$16)</f>
        <v>4700</v>
      </c>
      <c r="C19" s="25" t="n">
        <f aca="false">SUMIFS(Data!$H$5:$H$24,Data!$B$5:$B$24,$A19,Data!$E$5:$E$24,C$16)</f>
        <v>2500</v>
      </c>
      <c r="D19" s="25" t="n">
        <f aca="false">SUMIFS(Data!$H$5:$H$24,Data!$B$5:$B$24,$A19,Data!$E$5:$E$24,D$16)</f>
        <v>1200</v>
      </c>
      <c r="E19" s="26" t="n">
        <f aca="false">SUM(B19:D19)</f>
        <v>8400</v>
      </c>
    </row>
    <row r="20" customFormat="false" ht="15" hidden="false" customHeight="false" outlineLevel="0" collapsed="false">
      <c r="A20" s="24" t="s">
        <v>84</v>
      </c>
      <c r="B20" s="25" t="n">
        <f aca="false">SUMIFS(Data!$H$5:$H$24,Data!$B$5:$B$24,$A20,Data!$E$5:$E$24,B$16)</f>
        <v>7500</v>
      </c>
      <c r="C20" s="25" t="n">
        <f aca="false">SUMIFS(Data!$H$5:$H$24,Data!$B$5:$B$24,$A20,Data!$E$5:$E$24,C$16)</f>
        <v>2200</v>
      </c>
      <c r="D20" s="25" t="n">
        <f aca="false">SUMIFS(Data!$H$5:$H$24,Data!$B$5:$B$24,$A20,Data!$E$5:$E$24,D$16)</f>
        <v>3000</v>
      </c>
      <c r="E20" s="26" t="n">
        <f aca="false">SUM(B20:D20)</f>
        <v>12700</v>
      </c>
    </row>
    <row r="21" customFormat="false" ht="15" hidden="false" customHeight="false" outlineLevel="0" collapsed="false">
      <c r="A21" s="27" t="s">
        <v>178</v>
      </c>
      <c r="B21" s="26" t="n">
        <f aca="false">SUM(B17:B20)</f>
        <v>25950</v>
      </c>
      <c r="C21" s="26" t="n">
        <f aca="false">SUM(C17:C20)</f>
        <v>8225</v>
      </c>
      <c r="D21" s="26" t="n">
        <f aca="false">SUM(D17:D20)</f>
        <v>8400</v>
      </c>
      <c r="E21" s="26" t="n">
        <f aca="false">SUM(E17:E20)</f>
        <v>42575</v>
      </c>
    </row>
    <row r="24" customFormat="false" ht="15" hidden="false" customHeight="false" outlineLevel="0" collapsed="false">
      <c r="A24" s="3" t="s">
        <v>179</v>
      </c>
    </row>
    <row r="25" customFormat="false" ht="15" hidden="false" customHeight="false" outlineLevel="0" collapsed="false">
      <c r="A25" s="5" t="s">
        <v>67</v>
      </c>
      <c r="B25" s="5" t="s">
        <v>180</v>
      </c>
      <c r="C25" s="5" t="s">
        <v>181</v>
      </c>
      <c r="D25" s="5" t="s">
        <v>182</v>
      </c>
    </row>
    <row r="26" customFormat="false" ht="15" hidden="false" customHeight="false" outlineLevel="0" collapsed="false">
      <c r="A26" s="24" t="s">
        <v>74</v>
      </c>
      <c r="B26" s="24" t="n">
        <f aca="false">COUNTIFS(Data!$C$5:$C$24,A26)</f>
        <v>5</v>
      </c>
      <c r="C26" s="25" t="n">
        <f aca="false">SUMIFS(Data!$H$5:$H$24,Data!$C$5:$C$24,A26)</f>
        <v>9700</v>
      </c>
      <c r="D26" s="25" t="n">
        <f aca="false">AVERAGEIFS(Data!$H$5:$H$24,Data!$C$5:$C$24,A26)</f>
        <v>1940</v>
      </c>
    </row>
    <row r="27" customFormat="false" ht="15" hidden="false" customHeight="false" outlineLevel="0" collapsed="false">
      <c r="A27" s="24" t="s">
        <v>78</v>
      </c>
      <c r="B27" s="24" t="n">
        <f aca="false">COUNTIFS(Data!$C$5:$C$24,A27)</f>
        <v>5</v>
      </c>
      <c r="C27" s="25" t="n">
        <f aca="false">SUMIFS(Data!$H$5:$H$24,Data!$C$5:$C$24,A27)</f>
        <v>11775</v>
      </c>
      <c r="D27" s="25" t="n">
        <f aca="false">AVERAGEIFS(Data!$H$5:$H$24,Data!$C$5:$C$24,A27)</f>
        <v>2355</v>
      </c>
    </row>
    <row r="28" customFormat="false" ht="15" hidden="false" customHeight="false" outlineLevel="0" collapsed="false">
      <c r="A28" s="24" t="s">
        <v>81</v>
      </c>
      <c r="B28" s="24" t="n">
        <f aca="false">COUNTIFS(Data!$C$5:$C$24,A28)</f>
        <v>5</v>
      </c>
      <c r="C28" s="25" t="n">
        <f aca="false">SUMIFS(Data!$H$5:$H$24,Data!$C$5:$C$24,A28)</f>
        <v>8400</v>
      </c>
      <c r="D28" s="25" t="n">
        <f aca="false">AVERAGEIFS(Data!$H$5:$H$24,Data!$C$5:$C$24,A28)</f>
        <v>1680</v>
      </c>
    </row>
    <row r="29" customFormat="false" ht="15" hidden="false" customHeight="false" outlineLevel="0" collapsed="false">
      <c r="A29" s="24" t="s">
        <v>85</v>
      </c>
      <c r="B29" s="24" t="n">
        <f aca="false">COUNTIFS(Data!$C$5:$C$24,A29)</f>
        <v>5</v>
      </c>
      <c r="C29" s="25" t="n">
        <f aca="false">SUMIFS(Data!$H$5:$H$24,Data!$C$5:$C$24,A29)</f>
        <v>12700</v>
      </c>
      <c r="D29" s="25" t="n">
        <f aca="false">AVERAGEIFS(Data!$H$5:$H$24,Data!$C$5:$C$24,A29)</f>
        <v>2540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15" hidden="false" customHeight="false" outlineLevel="0" collapsed="false">
      <c r="A4" s="3" t="s">
        <v>185</v>
      </c>
    </row>
    <row r="5" customFormat="false" ht="15" hidden="false" customHeight="false" outlineLevel="0" collapsed="false">
      <c r="A5" s="5" t="s">
        <v>186</v>
      </c>
      <c r="B5" s="5" t="s">
        <v>187</v>
      </c>
      <c r="C5" s="5" t="s">
        <v>66</v>
      </c>
      <c r="D5" s="5" t="s">
        <v>188</v>
      </c>
      <c r="E5" s="5" t="s">
        <v>189</v>
      </c>
    </row>
    <row r="6" customFormat="false" ht="15" hidden="false" customHeight="false" outlineLevel="0" collapsed="false">
      <c r="A6" s="8" t="s">
        <v>190</v>
      </c>
      <c r="B6" s="4" t="str">
        <f aca="false">PROPER(TRIM(LEFT(A6,FIND("|",A6)-1)))</f>
        <v>Avery</v>
      </c>
      <c r="C6" s="4" t="str">
        <f aca="false">PROPER(TRIM(MID(A6,FIND("|",A6)+1,FIND("|",A6,FIND("|",A6)+1)-FIND("|",A6)-1)))</f>
        <v>East</v>
      </c>
      <c r="D6" s="9" t="n">
        <f aca="false">VALUE(SUBSTITUTE(TRIM(MID(A6,FIND("|",A6,FIND("|",A6)+1)+1,20)),",",""))</f>
        <v>3600</v>
      </c>
      <c r="E6" s="2" t="s">
        <v>191</v>
      </c>
    </row>
    <row r="7" customFormat="false" ht="15" hidden="false" customHeight="false" outlineLevel="0" collapsed="false">
      <c r="A7" s="8" t="s">
        <v>192</v>
      </c>
      <c r="B7" s="4" t="str">
        <f aca="false">PROPER(TRIM(LEFT(A7,FIND("|",A7)-1)))</f>
        <v>Blake</v>
      </c>
      <c r="C7" s="4" t="str">
        <f aca="false">PROPER(TRIM(MID(A7,FIND("|",A7)+1,FIND("|",A7,FIND("|",A7)+1)-FIND("|",A7)-1)))</f>
        <v>West</v>
      </c>
      <c r="D7" s="9" t="n">
        <f aca="false">VALUE(SUBSTITUTE(TRIM(MID(A7,FIND("|",A7,FIND("|",A7)+1)+1,20)),",",""))</f>
        <v>2500</v>
      </c>
      <c r="E7" s="2" t="s">
        <v>193</v>
      </c>
    </row>
    <row r="8" customFormat="false" ht="15" hidden="false" customHeight="false" outlineLevel="0" collapsed="false">
      <c r="A8" s="8" t="s">
        <v>194</v>
      </c>
      <c r="B8" s="4" t="str">
        <f aca="false">PROPER(TRIM(LEFT(A8,FIND("|",A8)-1)))</f>
        <v>Casey</v>
      </c>
      <c r="C8" s="4" t="str">
        <f aca="false">PROPER(TRIM(MID(A8,FIND("|",A8)+1,FIND("|",A8,FIND("|",A8)+1)-FIND("|",A8)-1)))</f>
        <v>North</v>
      </c>
      <c r="D8" s="9" t="n">
        <f aca="false">VALUE(SUBSTITUTE(TRIM(MID(A8,FIND("|",A8,FIND("|",A8)+1)+1,20)),",",""))</f>
        <v>1000</v>
      </c>
      <c r="E8" s="2" t="s">
        <v>195</v>
      </c>
    </row>
    <row r="9" customFormat="false" ht="15" hidden="false" customHeight="false" outlineLevel="0" collapsed="false">
      <c r="A9" s="8" t="s">
        <v>196</v>
      </c>
      <c r="B9" s="4" t="str">
        <f aca="false">PROPER(TRIM(LEFT(A9,FIND("|",A9)-1)))</f>
        <v>Devon</v>
      </c>
      <c r="C9" s="4" t="str">
        <f aca="false">PROPER(TRIM(MID(A9,FIND("|",A9)+1,FIND("|",A9,FIND("|",A9)+1)-FIND("|",A9)-1)))</f>
        <v>South</v>
      </c>
      <c r="D9" s="9" t="n">
        <f aca="false">VALUE(SUBSTITUTE(TRIM(MID(A9,FIND("|",A9,FIND("|",A9)+1)+1,20)),",",""))</f>
        <v>1000</v>
      </c>
    </row>
    <row r="10" customFormat="false" ht="15" hidden="false" customHeight="false" outlineLevel="0" collapsed="false">
      <c r="A10" s="8" t="s">
        <v>197</v>
      </c>
      <c r="B10" s="4" t="str">
        <f aca="false">PROPER(TRIM(LEFT(A10,FIND("|",A10)-1)))</f>
        <v>Avery</v>
      </c>
      <c r="C10" s="4" t="str">
        <f aca="false">PROPER(TRIM(MID(A10,FIND("|",A10)+1,FIND("|",A10,FIND("|",A10)+1)-FIND("|",A10)-1)))</f>
        <v>East</v>
      </c>
      <c r="D10" s="9" t="n">
        <f aca="false">VALUE(SUBSTITUTE(TRIM(MID(A10,FIND("|",A10,FIND("|",A10)+1)+1,20)),",",""))</f>
        <v>1800</v>
      </c>
    </row>
    <row r="11" customFormat="false" ht="15" hidden="false" customHeight="false" outlineLevel="0" collapsed="false">
      <c r="C11" s="3" t="s">
        <v>90</v>
      </c>
      <c r="D11" s="11" t="n">
        <f aca="false">SUM(D6:D10)</f>
        <v>9900</v>
      </c>
    </row>
    <row r="13" customFormat="false" ht="15" hidden="false" customHeight="false" outlineLevel="0" collapsed="false">
      <c r="A13" s="3" t="s">
        <v>198</v>
      </c>
    </row>
    <row r="14" customFormat="false" ht="15" hidden="false" customHeight="false" outlineLevel="0" collapsed="false">
      <c r="A14" s="4" t="s">
        <v>199</v>
      </c>
    </row>
    <row r="16" customFormat="false" ht="15" hidden="false" customHeight="false" outlineLevel="0" collapsed="false">
      <c r="A16" s="3" t="s">
        <v>200</v>
      </c>
    </row>
    <row r="17" customFormat="false" ht="15" hidden="false" customHeight="false" outlineLevel="0" collapsed="false">
      <c r="A17" s="4" t="s">
        <v>201</v>
      </c>
    </row>
    <row r="18" customFormat="false" ht="15" hidden="false" customHeight="false" outlineLevel="0" collapsed="false">
      <c r="A18" s="4" t="s">
        <v>202</v>
      </c>
    </row>
    <row r="19" customFormat="false" ht="15" hidden="false" customHeight="false" outlineLevel="0" collapsed="false">
      <c r="A19" s="4" t="s">
        <v>203</v>
      </c>
    </row>
    <row r="20" customFormat="false" ht="15" hidden="false" customHeight="false" outlineLevel="0" collapsed="false">
      <c r="A20" s="4" t="s">
        <v>204</v>
      </c>
    </row>
    <row r="21" customFormat="false" ht="15" hidden="false" customHeight="false" outlineLevel="0" collapsed="false">
      <c r="A21" s="4" t="s">
        <v>205</v>
      </c>
    </row>
    <row r="22" customFormat="false" ht="15" hidden="false" customHeight="false" outlineLevel="0" collapsed="false">
      <c r="A22" s="4" t="s">
        <v>206</v>
      </c>
    </row>
    <row r="24" customFormat="false" ht="15" hidden="false" customHeight="false" outlineLevel="0" collapsed="false">
      <c r="A24" s="3" t="s">
        <v>207</v>
      </c>
    </row>
    <row r="25" customFormat="false" ht="15" hidden="false" customHeight="false" outlineLevel="0" collapsed="false">
      <c r="A25" s="4" t="s">
        <v>208</v>
      </c>
    </row>
    <row r="26" customFormat="false" ht="15" hidden="false" customHeight="false" outlineLevel="0" collapsed="false">
      <c r="A26" s="16" t="s">
        <v>209</v>
      </c>
      <c r="E26" s="2" t="s">
        <v>210</v>
      </c>
    </row>
    <row r="27" customFormat="false" ht="15" hidden="false" customHeight="false" outlineLevel="0" collapsed="false">
      <c r="A27" s="16" t="s">
        <v>211</v>
      </c>
      <c r="E27" s="2" t="s">
        <v>212</v>
      </c>
    </row>
    <row r="28" customFormat="false" ht="15" hidden="false" customHeight="false" outlineLevel="0" collapsed="false">
      <c r="A28" s="16" t="s">
        <v>213</v>
      </c>
      <c r="E28" s="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11" min="8" style="0" width="12"/>
    <col collapsed="false" customWidth="true" hidden="false" outlineLevel="0" max="12" min="12" style="0" width="8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215</v>
      </c>
    </row>
    <row r="4" customFormat="false" ht="15" hidden="false" customHeight="false" outlineLevel="0" collapsed="false">
      <c r="A4" s="3" t="s">
        <v>216</v>
      </c>
      <c r="H4" s="3" t="s">
        <v>217</v>
      </c>
    </row>
    <row r="5" customFormat="false" ht="15" hidden="false" customHeight="false" outlineLevel="0" collapsed="false">
      <c r="A5" s="5" t="s">
        <v>65</v>
      </c>
      <c r="B5" s="5" t="s">
        <v>66</v>
      </c>
      <c r="C5" s="5" t="s">
        <v>67</v>
      </c>
      <c r="D5" s="5" t="s">
        <v>68</v>
      </c>
      <c r="E5" s="5" t="s">
        <v>70</v>
      </c>
      <c r="F5" s="5" t="s">
        <v>72</v>
      </c>
      <c r="H5" s="5" t="s">
        <v>66</v>
      </c>
      <c r="I5" s="5" t="s">
        <v>72</v>
      </c>
    </row>
    <row r="6" customFormat="false" ht="15" hidden="false" customHeight="false" outlineLevel="0" collapsed="false">
      <c r="A6" s="28" t="n">
        <v>46027</v>
      </c>
      <c r="B6" s="4" t="s">
        <v>73</v>
      </c>
      <c r="C6" s="4" t="s">
        <v>74</v>
      </c>
      <c r="D6" s="4" t="s">
        <v>75</v>
      </c>
      <c r="E6" s="4" t="n">
        <v>4</v>
      </c>
      <c r="F6" s="9" t="n">
        <v>3600</v>
      </c>
      <c r="H6" s="8" t="s">
        <v>77</v>
      </c>
      <c r="I6" s="8" t="s">
        <v>218</v>
      </c>
    </row>
    <row r="7" customFormat="false" ht="15" hidden="false" customHeight="false" outlineLevel="0" collapsed="false">
      <c r="A7" s="28" t="n">
        <v>46034</v>
      </c>
      <c r="B7" s="4" t="s">
        <v>77</v>
      </c>
      <c r="C7" s="4" t="s">
        <v>78</v>
      </c>
      <c r="D7" s="4" t="s">
        <v>79</v>
      </c>
      <c r="E7" s="4" t="n">
        <v>10</v>
      </c>
      <c r="F7" s="9" t="n">
        <v>2500</v>
      </c>
      <c r="H7" s="2" t="s">
        <v>219</v>
      </c>
    </row>
    <row r="8" customFormat="false" ht="15" hidden="false" customHeight="false" outlineLevel="0" collapsed="false">
      <c r="A8" s="28" t="n">
        <v>46041</v>
      </c>
      <c r="B8" s="4" t="s">
        <v>80</v>
      </c>
      <c r="C8" s="4" t="s">
        <v>81</v>
      </c>
      <c r="D8" s="4" t="s">
        <v>82</v>
      </c>
      <c r="E8" s="4" t="n">
        <v>25</v>
      </c>
      <c r="F8" s="9" t="n">
        <v>1000</v>
      </c>
    </row>
    <row r="9" customFormat="false" ht="15" hidden="false" customHeight="false" outlineLevel="0" collapsed="false">
      <c r="A9" s="28" t="n">
        <v>46048</v>
      </c>
      <c r="B9" s="4" t="s">
        <v>84</v>
      </c>
      <c r="C9" s="4" t="s">
        <v>85</v>
      </c>
      <c r="D9" s="4" t="s">
        <v>86</v>
      </c>
      <c r="E9" s="4" t="n">
        <v>40</v>
      </c>
      <c r="F9" s="9" t="n">
        <v>1000</v>
      </c>
      <c r="H9" s="3" t="s">
        <v>220</v>
      </c>
    </row>
    <row r="10" customFormat="false" ht="15" hidden="false" customHeight="false" outlineLevel="0" collapsed="false">
      <c r="A10" s="28" t="n">
        <v>46055</v>
      </c>
      <c r="B10" s="4" t="s">
        <v>73</v>
      </c>
      <c r="C10" s="4" t="s">
        <v>74</v>
      </c>
      <c r="D10" s="4" t="s">
        <v>87</v>
      </c>
      <c r="E10" s="4" t="n">
        <v>15</v>
      </c>
      <c r="F10" s="9" t="n">
        <v>1800</v>
      </c>
      <c r="H10" s="4" t="s">
        <v>221</v>
      </c>
    </row>
    <row r="11" customFormat="false" ht="15" hidden="false" customHeight="false" outlineLevel="0" collapsed="false">
      <c r="A11" s="28" t="n">
        <v>46062</v>
      </c>
      <c r="B11" s="4" t="s">
        <v>77</v>
      </c>
      <c r="C11" s="4" t="s">
        <v>78</v>
      </c>
      <c r="D11" s="4" t="s">
        <v>75</v>
      </c>
      <c r="E11" s="4" t="n">
        <v>6</v>
      </c>
      <c r="F11" s="9" t="n">
        <v>5400</v>
      </c>
      <c r="H11" s="4" t="s">
        <v>222</v>
      </c>
    </row>
    <row r="12" customFormat="false" ht="15" hidden="false" customHeight="false" outlineLevel="0" collapsed="false">
      <c r="A12" s="28" t="n">
        <v>46069</v>
      </c>
      <c r="B12" s="4" t="s">
        <v>80</v>
      </c>
      <c r="C12" s="4" t="s">
        <v>81</v>
      </c>
      <c r="D12" s="4" t="s">
        <v>79</v>
      </c>
      <c r="E12" s="4" t="n">
        <v>8</v>
      </c>
      <c r="F12" s="9" t="n">
        <v>2000</v>
      </c>
      <c r="H12" s="4" t="s">
        <v>223</v>
      </c>
    </row>
    <row r="13" customFormat="false" ht="15" hidden="false" customHeight="false" outlineLevel="0" collapsed="false">
      <c r="A13" s="28" t="n">
        <v>46076</v>
      </c>
      <c r="B13" s="4" t="s">
        <v>84</v>
      </c>
      <c r="C13" s="4" t="s">
        <v>85</v>
      </c>
      <c r="D13" s="4" t="s">
        <v>82</v>
      </c>
      <c r="E13" s="4" t="n">
        <v>30</v>
      </c>
      <c r="F13" s="9" t="n">
        <v>1200</v>
      </c>
      <c r="H13" s="4" t="s">
        <v>224</v>
      </c>
    </row>
    <row r="14" customFormat="false" ht="15" hidden="false" customHeight="false" outlineLevel="0" collapsed="false">
      <c r="A14" s="28" t="n">
        <v>46083</v>
      </c>
      <c r="B14" s="4" t="s">
        <v>73</v>
      </c>
      <c r="C14" s="4" t="s">
        <v>74</v>
      </c>
      <c r="D14" s="4" t="s">
        <v>86</v>
      </c>
      <c r="E14" s="4" t="n">
        <v>50</v>
      </c>
      <c r="F14" s="9" t="n">
        <v>1250</v>
      </c>
      <c r="H14" s="4" t="s">
        <v>225</v>
      </c>
    </row>
    <row r="15" customFormat="false" ht="15" hidden="false" customHeight="false" outlineLevel="0" collapsed="false">
      <c r="A15" s="28" t="n">
        <v>46090</v>
      </c>
      <c r="B15" s="4" t="s">
        <v>77</v>
      </c>
      <c r="C15" s="4" t="s">
        <v>78</v>
      </c>
      <c r="D15" s="4" t="s">
        <v>87</v>
      </c>
      <c r="E15" s="4" t="n">
        <v>20</v>
      </c>
      <c r="F15" s="9" t="n">
        <v>2400</v>
      </c>
      <c r="H15" s="4" t="s">
        <v>226</v>
      </c>
    </row>
    <row r="16" customFormat="false" ht="15" hidden="false" customHeight="false" outlineLevel="0" collapsed="false">
      <c r="A16" s="28" t="n">
        <v>46097</v>
      </c>
      <c r="B16" s="4" t="s">
        <v>80</v>
      </c>
      <c r="C16" s="4" t="s">
        <v>81</v>
      </c>
      <c r="D16" s="4" t="s">
        <v>75</v>
      </c>
      <c r="E16" s="4" t="n">
        <v>3</v>
      </c>
      <c r="F16" s="9" t="n">
        <v>2700</v>
      </c>
    </row>
    <row r="17" customFormat="false" ht="15" hidden="false" customHeight="false" outlineLevel="0" collapsed="false">
      <c r="A17" s="28" t="n">
        <v>46104</v>
      </c>
      <c r="B17" s="4" t="s">
        <v>84</v>
      </c>
      <c r="C17" s="4" t="s">
        <v>85</v>
      </c>
      <c r="D17" s="4" t="s">
        <v>79</v>
      </c>
      <c r="E17" s="4" t="n">
        <v>12</v>
      </c>
      <c r="F17" s="9" t="n">
        <v>3000</v>
      </c>
      <c r="H17" s="3" t="s">
        <v>227</v>
      </c>
    </row>
    <row r="18" customFormat="false" ht="15" hidden="false" customHeight="false" outlineLevel="0" collapsed="false">
      <c r="A18" s="28" t="n">
        <v>46118</v>
      </c>
      <c r="B18" s="4" t="s">
        <v>73</v>
      </c>
      <c r="C18" s="4" t="s">
        <v>74</v>
      </c>
      <c r="D18" s="4" t="s">
        <v>82</v>
      </c>
      <c r="E18" s="4" t="n">
        <v>20</v>
      </c>
      <c r="F18" s="9" t="n">
        <v>800</v>
      </c>
      <c r="H18" s="5" t="s">
        <v>65</v>
      </c>
      <c r="I18" s="5" t="s">
        <v>68</v>
      </c>
      <c r="J18" s="5" t="s">
        <v>72</v>
      </c>
    </row>
    <row r="19" customFormat="false" ht="15" hidden="false" customHeight="false" outlineLevel="0" collapsed="false">
      <c r="A19" s="28" t="n">
        <v>46125</v>
      </c>
      <c r="B19" s="4" t="s">
        <v>77</v>
      </c>
      <c r="C19" s="4" t="s">
        <v>78</v>
      </c>
      <c r="D19" s="4" t="s">
        <v>86</v>
      </c>
      <c r="E19" s="4" t="n">
        <v>35</v>
      </c>
      <c r="F19" s="9" t="n">
        <v>875</v>
      </c>
      <c r="H19" s="29" t="n">
        <v>46034</v>
      </c>
      <c r="I19" s="24" t="s">
        <v>79</v>
      </c>
      <c r="J19" s="25" t="n">
        <v>2500</v>
      </c>
    </row>
    <row r="20" customFormat="false" ht="15" hidden="false" customHeight="false" outlineLevel="0" collapsed="false">
      <c r="A20" s="28" t="n">
        <v>46132</v>
      </c>
      <c r="B20" s="4" t="s">
        <v>80</v>
      </c>
      <c r="C20" s="4" t="s">
        <v>81</v>
      </c>
      <c r="D20" s="4" t="s">
        <v>87</v>
      </c>
      <c r="E20" s="4" t="n">
        <v>10</v>
      </c>
      <c r="F20" s="9" t="n">
        <v>1200</v>
      </c>
      <c r="H20" s="29" t="n">
        <v>46062</v>
      </c>
      <c r="I20" s="24" t="s">
        <v>75</v>
      </c>
      <c r="J20" s="25" t="n">
        <v>5400</v>
      </c>
    </row>
    <row r="21" customFormat="false" ht="15" hidden="false" customHeight="false" outlineLevel="0" collapsed="false">
      <c r="A21" s="28" t="n">
        <v>46139</v>
      </c>
      <c r="B21" s="4" t="s">
        <v>84</v>
      </c>
      <c r="C21" s="4" t="s">
        <v>85</v>
      </c>
      <c r="D21" s="4" t="s">
        <v>75</v>
      </c>
      <c r="E21" s="4" t="n">
        <v>5</v>
      </c>
      <c r="F21" s="9" t="n">
        <v>4500</v>
      </c>
      <c r="H21" s="29" t="n">
        <v>46090</v>
      </c>
      <c r="I21" s="24" t="s">
        <v>87</v>
      </c>
      <c r="J21" s="25" t="n">
        <v>2400</v>
      </c>
    </row>
    <row r="22" customFormat="false" ht="15" hidden="false" customHeight="false" outlineLevel="0" collapsed="false">
      <c r="A22" s="28" t="n">
        <v>46146</v>
      </c>
      <c r="B22" s="4" t="s">
        <v>73</v>
      </c>
      <c r="C22" s="4" t="s">
        <v>74</v>
      </c>
      <c r="D22" s="4" t="s">
        <v>79</v>
      </c>
      <c r="E22" s="4" t="n">
        <v>9</v>
      </c>
      <c r="F22" s="9" t="n">
        <v>2250</v>
      </c>
      <c r="H22" s="30" t="s">
        <v>228</v>
      </c>
    </row>
    <row r="23" customFormat="false" ht="15" hidden="false" customHeight="false" outlineLevel="0" collapsed="false">
      <c r="A23" s="28" t="n">
        <v>46153</v>
      </c>
      <c r="B23" s="4" t="s">
        <v>77</v>
      </c>
      <c r="C23" s="4" t="s">
        <v>78</v>
      </c>
      <c r="D23" s="4" t="s">
        <v>82</v>
      </c>
      <c r="E23" s="4" t="n">
        <v>15</v>
      </c>
      <c r="F23" s="9" t="n">
        <v>600</v>
      </c>
    </row>
    <row r="24" customFormat="false" ht="15" hidden="false" customHeight="false" outlineLevel="0" collapsed="false">
      <c r="A24" s="28" t="n">
        <v>46160</v>
      </c>
      <c r="B24" s="4" t="s">
        <v>80</v>
      </c>
      <c r="C24" s="4" t="s">
        <v>81</v>
      </c>
      <c r="D24" s="4" t="s">
        <v>86</v>
      </c>
      <c r="E24" s="4" t="n">
        <v>60</v>
      </c>
      <c r="F24" s="9" t="n">
        <v>1500</v>
      </c>
    </row>
    <row r="25" customFormat="false" ht="15" hidden="false" customHeight="false" outlineLevel="0" collapsed="false">
      <c r="A25" s="28" t="n">
        <v>46167</v>
      </c>
      <c r="B25" s="4" t="s">
        <v>84</v>
      </c>
      <c r="C25" s="4" t="s">
        <v>85</v>
      </c>
      <c r="D25" s="4" t="s">
        <v>87</v>
      </c>
      <c r="E25" s="4" t="n">
        <v>25</v>
      </c>
      <c r="F25" s="9" t="n">
        <v>3000</v>
      </c>
    </row>
    <row r="28" customFormat="false" ht="15" hidden="false" customHeight="false" outlineLevel="0" collapsed="false">
      <c r="A28" s="3" t="s">
        <v>229</v>
      </c>
    </row>
    <row r="29" customFormat="false" ht="15" hidden="false" customHeight="false" outlineLevel="0" collapsed="false">
      <c r="A29" s="4" t="s">
        <v>230</v>
      </c>
    </row>
    <row r="30" customFormat="false" ht="15" hidden="false" customHeight="false" outlineLevel="0" collapsed="false">
      <c r="A30" s="4" t="s">
        <v>231</v>
      </c>
    </row>
    <row r="31" customFormat="false" ht="15" hidden="false" customHeight="false" outlineLevel="0" collapsed="false">
      <c r="A31" s="4" t="s">
        <v>232</v>
      </c>
    </row>
    <row r="32" customFormat="false" ht="15" hidden="false" customHeight="false" outlineLevel="0" collapsed="false">
      <c r="A32" s="4" t="s">
        <v>233</v>
      </c>
    </row>
    <row r="34" customFormat="false" ht="15" hidden="false" customHeight="false" outlineLevel="0" collapsed="false">
      <c r="A34" s="3" t="s">
        <v>234</v>
      </c>
    </row>
    <row r="35" customFormat="false" ht="15" hidden="false" customHeight="false" outlineLevel="0" collapsed="false">
      <c r="A35" s="4" t="s">
        <v>235</v>
      </c>
    </row>
    <row r="36" customFormat="false" ht="15" hidden="false" customHeight="false" outlineLevel="0" collapsed="false">
      <c r="A36" s="16" t="s">
        <v>236</v>
      </c>
      <c r="H36" s="2" t="s">
        <v>237</v>
      </c>
    </row>
    <row r="37" customFormat="false" ht="15" hidden="false" customHeight="false" outlineLevel="0" collapsed="false">
      <c r="A37" s="16" t="s">
        <v>238</v>
      </c>
      <c r="H37" s="2" t="s">
        <v>239</v>
      </c>
    </row>
    <row r="38" customFormat="false" ht="15" hidden="false" customHeight="false" outlineLevel="0" collapsed="false">
      <c r="A38" s="16" t="s">
        <v>240</v>
      </c>
      <c r="H38" s="2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2" t="s">
        <v>243</v>
      </c>
    </row>
    <row r="4" customFormat="false" ht="15" hidden="false" customHeight="false" outlineLevel="0" collapsed="false">
      <c r="A4" s="4" t="s">
        <v>244</v>
      </c>
      <c r="B4" s="8" t="s">
        <v>79</v>
      </c>
      <c r="E4" s="3" t="s">
        <v>245</v>
      </c>
    </row>
    <row r="5" customFormat="false" ht="15" hidden="false" customHeight="false" outlineLevel="0" collapsed="false">
      <c r="A5" s="4" t="s">
        <v>246</v>
      </c>
      <c r="B5" s="12" t="n">
        <f aca="false">VLOOKUP(B4,Data!$K$5:$M$9,3,FALSE())</f>
        <v>250</v>
      </c>
      <c r="E5" s="5" t="s">
        <v>247</v>
      </c>
      <c r="F5" s="5" t="s">
        <v>248</v>
      </c>
      <c r="H5" s="16" t="s">
        <v>249</v>
      </c>
    </row>
    <row r="6" customFormat="false" ht="15" hidden="false" customHeight="false" outlineLevel="0" collapsed="false">
      <c r="A6" s="4" t="s">
        <v>250</v>
      </c>
      <c r="B6" s="13" t="str">
        <f aca="false">INDEX(Data!$L$5:$L$9,MATCH(B4,Data!$K$5:$K$9,0))</f>
        <v>Hardware</v>
      </c>
      <c r="E6" s="10" t="n">
        <v>0</v>
      </c>
      <c r="F6" s="31" t="n">
        <v>0.02</v>
      </c>
      <c r="H6" s="16" t="s">
        <v>251</v>
      </c>
    </row>
    <row r="7" customFormat="false" ht="15" hidden="false" customHeight="false" outlineLevel="0" collapsed="false">
      <c r="A7" s="4" t="s">
        <v>252</v>
      </c>
      <c r="B7" s="30"/>
      <c r="E7" s="10" t="n">
        <v>5000</v>
      </c>
      <c r="F7" s="31" t="n">
        <v>0.04</v>
      </c>
      <c r="H7" s="16" t="s">
        <v>253</v>
      </c>
    </row>
    <row r="8" customFormat="false" ht="15" hidden="false" customHeight="false" outlineLevel="0" collapsed="false">
      <c r="E8" s="10" t="n">
        <v>10000</v>
      </c>
      <c r="F8" s="31" t="n">
        <v>0.06</v>
      </c>
    </row>
    <row r="9" customFormat="false" ht="15" hidden="false" customHeight="false" outlineLevel="0" collapsed="false">
      <c r="E9" s="2" t="s">
        <v>254</v>
      </c>
    </row>
    <row r="10" customFormat="false" ht="15" hidden="false" customHeight="false" outlineLevel="0" collapsed="false">
      <c r="A10" s="4" t="s">
        <v>255</v>
      </c>
      <c r="B10" s="10" t="n">
        <v>9700</v>
      </c>
    </row>
    <row r="11" customFormat="false" ht="15" hidden="false" customHeight="false" outlineLevel="0" collapsed="false">
      <c r="A11" s="4" t="s">
        <v>256</v>
      </c>
      <c r="B11" s="32" t="n">
        <f aca="false">VLOOKUP(B10,$E$6:$F$8,2,TRUE())</f>
        <v>0.04</v>
      </c>
      <c r="H11" s="16" t="s">
        <v>257</v>
      </c>
    </row>
    <row r="12" customFormat="false" ht="15" hidden="false" customHeight="false" outlineLevel="0" collapsed="false">
      <c r="A12" s="4" t="s">
        <v>258</v>
      </c>
      <c r="B12" s="9" t="n">
        <f aca="false">B10*B11</f>
        <v>388</v>
      </c>
    </row>
    <row r="14" customFormat="false" ht="15" hidden="false" customHeight="false" outlineLevel="0" collapsed="false">
      <c r="A14" s="4" t="s">
        <v>66</v>
      </c>
      <c r="B14" s="8" t="s">
        <v>77</v>
      </c>
    </row>
    <row r="15" customFormat="false" ht="15" hidden="false" customHeight="false" outlineLevel="0" collapsed="false">
      <c r="A15" s="4" t="s">
        <v>69</v>
      </c>
      <c r="B15" s="8" t="s">
        <v>76</v>
      </c>
    </row>
    <row r="16" customFormat="false" ht="15" hidden="false" customHeight="false" outlineLevel="0" collapsed="false">
      <c r="A16" s="4" t="s">
        <v>259</v>
      </c>
      <c r="B16" s="12" t="n">
        <f aca="false">INDEX('3 PivotTables'!$B$17:$D$20,MATCH(B14,'3 PivotTables'!$A$17:$A$20,0),MATCH(B15,'3 PivotTables'!$B$16:$D$16,0))</f>
        <v>7900</v>
      </c>
      <c r="H16" s="16" t="s">
        <v>260</v>
      </c>
    </row>
    <row r="19" customFormat="false" ht="15" hidden="false" customHeight="false" outlineLevel="0" collapsed="false">
      <c r="A19" s="3" t="s">
        <v>261</v>
      </c>
      <c r="E19" s="3" t="s">
        <v>262</v>
      </c>
    </row>
    <row r="20" customFormat="false" ht="15" hidden="false" customHeight="false" outlineLevel="0" collapsed="false">
      <c r="A20" s="4" t="s">
        <v>263</v>
      </c>
      <c r="B20" s="12" t="n">
        <f aca="false">DSUM(Data!$A$4:$H$24,"Revenue",$E$20:$F$21)</f>
        <v>10300</v>
      </c>
      <c r="E20" s="5" t="s">
        <v>66</v>
      </c>
      <c r="F20" s="5" t="s">
        <v>72</v>
      </c>
      <c r="H20" s="16" t="s">
        <v>264</v>
      </c>
    </row>
    <row r="21" customFormat="false" ht="15" hidden="false" customHeight="false" outlineLevel="0" collapsed="false">
      <c r="A21" s="4" t="s">
        <v>265</v>
      </c>
      <c r="B21" s="33" t="n">
        <f aca="false">DCOUNT(Data!$A$4:$H$24,"Revenue",$E$20:$F$21)</f>
        <v>3</v>
      </c>
      <c r="E21" s="8" t="s">
        <v>77</v>
      </c>
      <c r="F21" s="8" t="s">
        <v>218</v>
      </c>
      <c r="H21" s="16" t="s">
        <v>266</v>
      </c>
    </row>
    <row r="22" customFormat="false" ht="15" hidden="false" customHeight="false" outlineLevel="0" collapsed="false">
      <c r="A22" s="4" t="s">
        <v>267</v>
      </c>
      <c r="B22" s="34" t="n">
        <f aca="false">DAVERAGE(Data!$A$4:$H$24,"Revenue",$E$20:$F$21)</f>
        <v>3433.33333333333</v>
      </c>
      <c r="H22" s="16" t="s">
        <v>268</v>
      </c>
    </row>
    <row r="23" customFormat="false" ht="15" hidden="false" customHeight="false" outlineLevel="0" collapsed="false">
      <c r="A23" s="4" t="s">
        <v>269</v>
      </c>
      <c r="B23" s="12" t="n">
        <f aca="false">DMAX(Data!$A$4:$H$24,"Revenue",$E$20:$F$21)</f>
        <v>5400</v>
      </c>
      <c r="H23" s="16" t="s">
        <v>270</v>
      </c>
    </row>
    <row r="24" customFormat="false" ht="15" hidden="false" customHeight="false" outlineLevel="0" collapsed="false">
      <c r="A24" s="4" t="s">
        <v>271</v>
      </c>
      <c r="B24" s="12" t="n">
        <f aca="false">SUMIFS(Data!$H$5:$H$24,Data!$B$5:$B$24,E21,Data!$H$5:$H$24,F21)</f>
        <v>10300</v>
      </c>
      <c r="H24" s="16" t="s">
        <v>272</v>
      </c>
    </row>
    <row r="27" customFormat="false" ht="15" hidden="false" customHeight="false" outlineLevel="0" collapsed="false">
      <c r="A27" s="3" t="s">
        <v>95</v>
      </c>
    </row>
    <row r="28" customFormat="false" ht="15" hidden="false" customHeight="false" outlineLevel="0" collapsed="false">
      <c r="A28" s="4" t="s">
        <v>273</v>
      </c>
    </row>
    <row r="29" customFormat="false" ht="15" hidden="false" customHeight="false" outlineLevel="0" collapsed="false">
      <c r="A29" s="4" t="s">
        <v>274</v>
      </c>
    </row>
    <row r="30" customFormat="false" ht="15" hidden="false" customHeight="false" outlineLevel="0" collapsed="false">
      <c r="A30" s="4" t="s">
        <v>275</v>
      </c>
    </row>
  </sheetData>
  <dataValidations count="3">
    <dataValidation allowBlank="false" errorStyle="stop" operator="between" showDropDown="false" showErrorMessage="false" showInputMessage="false" sqref="B4" type="list">
      <formula1>Data!$K$5:$K$9</formula1>
      <formula2>0</formula2>
    </dataValidation>
    <dataValidation allowBlank="false" errorStyle="stop" operator="between" showDropDown="false" showErrorMessage="false" showInputMessage="false" sqref="B14" type="list">
      <formula1>"East,West,North,South"</formula1>
      <formula2>0</formula2>
    </dataValidation>
    <dataValidation allowBlank="false" errorStyle="stop" operator="between" showDropDown="false" showErrorMessage="false" showInputMessage="false" sqref="B15" type="list">
      <formula1>"Hardware,Accessories,Software"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  <col collapsed="false" customWidth="true" hidden="false" outlineLevel="0" max="6" min="5" style="0" width="16"/>
    <col collapsed="false" customWidth="true" hidden="false" outlineLevel="0" max="7" min="7" style="0" width="3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4" customFormat="false" ht="15" hidden="false" customHeight="false" outlineLevel="0" collapsed="false">
      <c r="A4" s="5" t="s">
        <v>66</v>
      </c>
      <c r="B4" s="5" t="s">
        <v>278</v>
      </c>
      <c r="C4" s="5" t="s">
        <v>279</v>
      </c>
      <c r="D4" s="5" t="s">
        <v>280</v>
      </c>
      <c r="E4" s="5" t="s">
        <v>281</v>
      </c>
      <c r="F4" s="5" t="s">
        <v>282</v>
      </c>
      <c r="H4" s="3" t="s">
        <v>283</v>
      </c>
    </row>
    <row r="5" customFormat="false" ht="15" hidden="false" customHeight="false" outlineLevel="0" collapsed="false">
      <c r="A5" s="4" t="s">
        <v>73</v>
      </c>
      <c r="B5" s="12" t="n">
        <f aca="false">Jan!B5</f>
        <v>3600</v>
      </c>
      <c r="C5" s="12" t="n">
        <f aca="false">Feb!B5</f>
        <v>1800</v>
      </c>
      <c r="D5" s="12" t="n">
        <f aca="false">Mar!B5</f>
        <v>1250</v>
      </c>
      <c r="E5" s="12" t="n">
        <f aca="false">SUM(Jan:Mar!B5:B5)</f>
        <v>6650</v>
      </c>
      <c r="F5" s="12" t="n">
        <f aca="false">SUM(Jan:Mar!D5:D5)</f>
        <v>2550</v>
      </c>
      <c r="H5" s="16" t="s">
        <v>284</v>
      </c>
    </row>
    <row r="6" customFormat="false" ht="15" hidden="false" customHeight="false" outlineLevel="0" collapsed="false">
      <c r="A6" s="4" t="s">
        <v>77</v>
      </c>
      <c r="B6" s="12" t="n">
        <f aca="false">Jan!B6</f>
        <v>2500</v>
      </c>
      <c r="C6" s="12" t="n">
        <f aca="false">Feb!B6</f>
        <v>5400</v>
      </c>
      <c r="D6" s="12" t="n">
        <f aca="false">Mar!B6</f>
        <v>2400</v>
      </c>
      <c r="E6" s="12" t="n">
        <f aca="false">SUM(Jan:Mar!B6:B6)</f>
        <v>10300</v>
      </c>
      <c r="F6" s="12" t="n">
        <f aca="false">SUM(Jan:Mar!D6:D6)</f>
        <v>3900</v>
      </c>
      <c r="H6" s="16" t="s">
        <v>285</v>
      </c>
    </row>
    <row r="7" customFormat="false" ht="15" hidden="false" customHeight="false" outlineLevel="0" collapsed="false">
      <c r="A7" s="4" t="s">
        <v>80</v>
      </c>
      <c r="B7" s="12" t="n">
        <f aca="false">Jan!B7</f>
        <v>1000</v>
      </c>
      <c r="C7" s="12" t="n">
        <f aca="false">Feb!B7</f>
        <v>2000</v>
      </c>
      <c r="D7" s="12" t="n">
        <f aca="false">Mar!B7</f>
        <v>2700</v>
      </c>
      <c r="E7" s="12" t="n">
        <f aca="false">SUM(Jan:Mar!B7:B7)</f>
        <v>5700</v>
      </c>
      <c r="F7" s="12" t="n">
        <f aca="false">SUM(Jan:Mar!D7:D7)</f>
        <v>2000</v>
      </c>
    </row>
    <row r="8" customFormat="false" ht="15" hidden="false" customHeight="false" outlineLevel="0" collapsed="false">
      <c r="A8" s="4" t="s">
        <v>84</v>
      </c>
      <c r="B8" s="12" t="n">
        <f aca="false">Jan!B8</f>
        <v>1000</v>
      </c>
      <c r="C8" s="12" t="n">
        <f aca="false">Feb!B8</f>
        <v>1200</v>
      </c>
      <c r="D8" s="12" t="n">
        <f aca="false">Mar!B8</f>
        <v>3000</v>
      </c>
      <c r="E8" s="12" t="n">
        <f aca="false">SUM(Jan:Mar!B8:B8)</f>
        <v>5200</v>
      </c>
      <c r="F8" s="12" t="n">
        <f aca="false">SUM(Jan:Mar!D8:D8)</f>
        <v>1900</v>
      </c>
    </row>
    <row r="9" customFormat="false" ht="15" hidden="false" customHeight="false" outlineLevel="0" collapsed="false">
      <c r="A9" s="3" t="s">
        <v>90</v>
      </c>
      <c r="B9" s="11" t="n">
        <f aca="false">SUM(B5:B8)</f>
        <v>8100</v>
      </c>
      <c r="C9" s="11" t="n">
        <f aca="false">SUM(C5:C8)</f>
        <v>10400</v>
      </c>
      <c r="D9" s="11" t="n">
        <f aca="false">SUM(D5:D8)</f>
        <v>9350</v>
      </c>
      <c r="E9" s="11" t="n">
        <f aca="false">SUM(E5:E8)</f>
        <v>27850</v>
      </c>
      <c r="F9" s="11" t="n">
        <f aca="false">SUM(F5:F8)</f>
        <v>10350</v>
      </c>
    </row>
    <row r="12" customFormat="false" ht="15" hidden="false" customHeight="false" outlineLevel="0" collapsed="false">
      <c r="A12" s="3" t="s">
        <v>95</v>
      </c>
    </row>
    <row r="13" customFormat="false" ht="15" hidden="false" customHeight="false" outlineLevel="0" collapsed="false">
      <c r="A13" s="4" t="s">
        <v>286</v>
      </c>
    </row>
    <row r="14" customFormat="false" ht="15" hidden="false" customHeight="false" outlineLevel="0" collapsed="false">
      <c r="A14" s="4" t="s">
        <v>287</v>
      </c>
    </row>
    <row r="15" customFormat="false" ht="15" hidden="false" customHeight="false" outlineLevel="0" collapsed="false">
      <c r="A15" s="4" t="s">
        <v>288</v>
      </c>
    </row>
    <row r="16" customFormat="false" ht="15" hidden="false" customHeight="false" outlineLevel="0" collapsed="false">
      <c r="A16" s="4" t="s">
        <v>289</v>
      </c>
    </row>
    <row r="18" customFormat="false" ht="15" hidden="false" customHeight="false" outlineLevel="0" collapsed="false">
      <c r="A18" s="3" t="s">
        <v>290</v>
      </c>
    </row>
    <row r="19" customFormat="false" ht="15" hidden="false" customHeight="false" outlineLevel="0" collapsed="false">
      <c r="A19" s="4" t="s">
        <v>291</v>
      </c>
    </row>
    <row r="20" customFormat="false" ht="15" hidden="false" customHeight="false" outlineLevel="0" collapsed="false">
      <c r="A20" s="35" t="s">
        <v>292</v>
      </c>
    </row>
    <row r="21" customFormat="false" ht="15" hidden="false" customHeight="false" outlineLevel="0" collapsed="false">
      <c r="A21" s="4" t="s">
        <v>293</v>
      </c>
    </row>
    <row r="22" customFormat="false" ht="15" hidden="false" customHeight="false" outlineLevel="0" collapsed="false">
      <c r="A22" s="4" t="s">
        <v>294</v>
      </c>
    </row>
    <row r="23" customFormat="false" ht="15" hidden="false" customHeight="false" outlineLevel="0" collapsed="false">
      <c r="A23" s="4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296</v>
      </c>
    </row>
    <row r="2" customFormat="false" ht="15" hidden="false" customHeight="false" outlineLevel="0" collapsed="false">
      <c r="A2" s="2" t="s">
        <v>297</v>
      </c>
    </row>
    <row r="4" customFormat="false" ht="15" hidden="false" customHeight="false" outlineLevel="0" collapsed="false">
      <c r="A4" s="5" t="s">
        <v>66</v>
      </c>
      <c r="B4" s="5" t="s">
        <v>72</v>
      </c>
      <c r="C4" s="5" t="s">
        <v>298</v>
      </c>
      <c r="D4" s="5" t="s">
        <v>299</v>
      </c>
    </row>
    <row r="5" customFormat="false" ht="15" hidden="false" customHeight="false" outlineLevel="0" collapsed="false">
      <c r="A5" s="4" t="s">
        <v>73</v>
      </c>
      <c r="B5" s="10" t="n">
        <v>3600</v>
      </c>
      <c r="C5" s="10" t="n">
        <v>2200</v>
      </c>
      <c r="D5" s="9" t="n">
        <f aca="false">B5-C5</f>
        <v>1400</v>
      </c>
    </row>
    <row r="6" customFormat="false" ht="15" hidden="false" customHeight="false" outlineLevel="0" collapsed="false">
      <c r="A6" s="4" t="s">
        <v>77</v>
      </c>
      <c r="B6" s="10" t="n">
        <v>2500</v>
      </c>
      <c r="C6" s="10" t="n">
        <v>1600</v>
      </c>
      <c r="D6" s="9" t="n">
        <f aca="false">B6-C6</f>
        <v>900</v>
      </c>
    </row>
    <row r="7" customFormat="false" ht="15" hidden="false" customHeight="false" outlineLevel="0" collapsed="false">
      <c r="A7" s="4" t="s">
        <v>80</v>
      </c>
      <c r="B7" s="10" t="n">
        <v>1000</v>
      </c>
      <c r="C7" s="10" t="n">
        <v>700</v>
      </c>
      <c r="D7" s="9" t="n">
        <f aca="false">B7-C7</f>
        <v>300</v>
      </c>
    </row>
    <row r="8" customFormat="false" ht="15" hidden="false" customHeight="false" outlineLevel="0" collapsed="false">
      <c r="A8" s="4" t="s">
        <v>84</v>
      </c>
      <c r="B8" s="10" t="n">
        <v>1000</v>
      </c>
      <c r="C8" s="10" t="n">
        <v>650</v>
      </c>
      <c r="D8" s="9" t="n">
        <f aca="false">B8-C8</f>
        <v>350</v>
      </c>
    </row>
    <row r="9" customFormat="false" ht="15" hidden="false" customHeight="false" outlineLevel="0" collapsed="false">
      <c r="A9" s="3" t="s">
        <v>90</v>
      </c>
      <c r="B9" s="11" t="n">
        <f aca="false">SUM(B5:B8)</f>
        <v>8100</v>
      </c>
      <c r="C9" s="11" t="n">
        <f aca="false">SUM(C5:C8)</f>
        <v>5150</v>
      </c>
      <c r="D9" s="11" t="n">
        <f aca="false">SUM(D5:D8)</f>
        <v>2950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300</v>
      </c>
    </row>
    <row r="2" customFormat="false" ht="15" hidden="false" customHeight="false" outlineLevel="0" collapsed="false">
      <c r="A2" s="2" t="s">
        <v>297</v>
      </c>
    </row>
    <row r="4" customFormat="false" ht="15" hidden="false" customHeight="false" outlineLevel="0" collapsed="false">
      <c r="A4" s="5" t="s">
        <v>66</v>
      </c>
      <c r="B4" s="5" t="s">
        <v>72</v>
      </c>
      <c r="C4" s="5" t="s">
        <v>298</v>
      </c>
      <c r="D4" s="5" t="s">
        <v>299</v>
      </c>
    </row>
    <row r="5" customFormat="false" ht="15" hidden="false" customHeight="false" outlineLevel="0" collapsed="false">
      <c r="A5" s="4" t="s">
        <v>73</v>
      </c>
      <c r="B5" s="10" t="n">
        <v>1800</v>
      </c>
      <c r="C5" s="10" t="n">
        <v>1100</v>
      </c>
      <c r="D5" s="9" t="n">
        <f aca="false">B5-C5</f>
        <v>700</v>
      </c>
    </row>
    <row r="6" customFormat="false" ht="15" hidden="false" customHeight="false" outlineLevel="0" collapsed="false">
      <c r="A6" s="4" t="s">
        <v>77</v>
      </c>
      <c r="B6" s="10" t="n">
        <v>5400</v>
      </c>
      <c r="C6" s="10" t="n">
        <v>3300</v>
      </c>
      <c r="D6" s="9" t="n">
        <f aca="false">B6-C6</f>
        <v>2100</v>
      </c>
    </row>
    <row r="7" customFormat="false" ht="15" hidden="false" customHeight="false" outlineLevel="0" collapsed="false">
      <c r="A7" s="4" t="s">
        <v>80</v>
      </c>
      <c r="B7" s="10" t="n">
        <v>2000</v>
      </c>
      <c r="C7" s="10" t="n">
        <v>1300</v>
      </c>
      <c r="D7" s="9" t="n">
        <f aca="false">B7-C7</f>
        <v>700</v>
      </c>
    </row>
    <row r="8" customFormat="false" ht="15" hidden="false" customHeight="false" outlineLevel="0" collapsed="false">
      <c r="A8" s="4" t="s">
        <v>84</v>
      </c>
      <c r="B8" s="10" t="n">
        <v>1200</v>
      </c>
      <c r="C8" s="10" t="n">
        <v>800</v>
      </c>
      <c r="D8" s="9" t="n">
        <f aca="false">B8-C8</f>
        <v>400</v>
      </c>
    </row>
    <row r="9" customFormat="false" ht="15" hidden="false" customHeight="false" outlineLevel="0" collapsed="false">
      <c r="A9" s="3" t="s">
        <v>90</v>
      </c>
      <c r="B9" s="11" t="n">
        <f aca="false">SUM(B5:B8)</f>
        <v>10400</v>
      </c>
      <c r="C9" s="11" t="n">
        <f aca="false">SUM(C5:C8)</f>
        <v>6500</v>
      </c>
      <c r="D9" s="11" t="n">
        <f aca="false">SUM(D5:D8)</f>
        <v>3900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2" t="s">
        <v>297</v>
      </c>
    </row>
    <row r="4" customFormat="false" ht="15" hidden="false" customHeight="false" outlineLevel="0" collapsed="false">
      <c r="A4" s="5" t="s">
        <v>66</v>
      </c>
      <c r="B4" s="5" t="s">
        <v>72</v>
      </c>
      <c r="C4" s="5" t="s">
        <v>298</v>
      </c>
      <c r="D4" s="5" t="s">
        <v>299</v>
      </c>
    </row>
    <row r="5" customFormat="false" ht="15" hidden="false" customHeight="false" outlineLevel="0" collapsed="false">
      <c r="A5" s="4" t="s">
        <v>73</v>
      </c>
      <c r="B5" s="10" t="n">
        <v>1250</v>
      </c>
      <c r="C5" s="10" t="n">
        <v>800</v>
      </c>
      <c r="D5" s="9" t="n">
        <f aca="false">B5-C5</f>
        <v>450</v>
      </c>
    </row>
    <row r="6" customFormat="false" ht="15" hidden="false" customHeight="false" outlineLevel="0" collapsed="false">
      <c r="A6" s="4" t="s">
        <v>77</v>
      </c>
      <c r="B6" s="10" t="n">
        <v>2400</v>
      </c>
      <c r="C6" s="10" t="n">
        <v>1500</v>
      </c>
      <c r="D6" s="9" t="n">
        <f aca="false">B6-C6</f>
        <v>900</v>
      </c>
    </row>
    <row r="7" customFormat="false" ht="15" hidden="false" customHeight="false" outlineLevel="0" collapsed="false">
      <c r="A7" s="4" t="s">
        <v>80</v>
      </c>
      <c r="B7" s="10" t="n">
        <v>2700</v>
      </c>
      <c r="C7" s="10" t="n">
        <v>1700</v>
      </c>
      <c r="D7" s="9" t="n">
        <f aca="false">B7-C7</f>
        <v>1000</v>
      </c>
    </row>
    <row r="8" customFormat="false" ht="15" hidden="false" customHeight="false" outlineLevel="0" collapsed="false">
      <c r="A8" s="4" t="s">
        <v>84</v>
      </c>
      <c r="B8" s="10" t="n">
        <v>3000</v>
      </c>
      <c r="C8" s="10" t="n">
        <v>1850</v>
      </c>
      <c r="D8" s="9" t="n">
        <f aca="false">B8-C8</f>
        <v>1150</v>
      </c>
    </row>
    <row r="9" customFormat="false" ht="15" hidden="false" customHeight="false" outlineLevel="0" collapsed="false">
      <c r="A9" s="3" t="s">
        <v>90</v>
      </c>
      <c r="B9" s="11" t="n">
        <f aca="false">SUM(B5:B8)</f>
        <v>9350</v>
      </c>
      <c r="C9" s="11" t="n">
        <f aca="false">SUM(C5:C8)</f>
        <v>5850</v>
      </c>
      <c r="D9" s="11" t="n">
        <f aca="false">SUM(D5:D8)</f>
        <v>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302</v>
      </c>
    </row>
    <row r="4" customFormat="false" ht="15" hidden="false" customHeight="false" outlineLevel="0" collapsed="false">
      <c r="A4" s="3" t="s">
        <v>303</v>
      </c>
      <c r="D4" s="3" t="s">
        <v>304</v>
      </c>
      <c r="G4" s="3" t="s">
        <v>305</v>
      </c>
    </row>
    <row r="5" customFormat="false" ht="15" hidden="false" customHeight="false" outlineLevel="0" collapsed="false">
      <c r="A5" s="4" t="s">
        <v>306</v>
      </c>
      <c r="B5" s="36" t="n">
        <v>500</v>
      </c>
      <c r="D5" s="4" t="s">
        <v>307</v>
      </c>
      <c r="G5" s="4" t="s">
        <v>308</v>
      </c>
      <c r="H5" s="8" t="n">
        <v>0</v>
      </c>
    </row>
    <row r="6" customFormat="false" ht="15" hidden="false" customHeight="false" outlineLevel="0" collapsed="false">
      <c r="A6" s="4" t="s">
        <v>309</v>
      </c>
      <c r="B6" s="10" t="n">
        <v>20</v>
      </c>
      <c r="D6" s="4" t="s">
        <v>310</v>
      </c>
      <c r="G6" s="4" t="s">
        <v>311</v>
      </c>
      <c r="H6" s="8" t="s">
        <v>312</v>
      </c>
    </row>
    <row r="7" customFormat="false" ht="15" hidden="false" customHeight="false" outlineLevel="0" collapsed="false">
      <c r="A7" s="4" t="s">
        <v>72</v>
      </c>
      <c r="B7" s="9" t="n">
        <f aca="false">B5*B6</f>
        <v>10000</v>
      </c>
      <c r="D7" s="4" t="s">
        <v>313</v>
      </c>
    </row>
    <row r="8" customFormat="false" ht="15" hidden="false" customHeight="false" outlineLevel="0" collapsed="false">
      <c r="A8" s="4" t="s">
        <v>314</v>
      </c>
      <c r="B8" s="31" t="n">
        <v>0.6</v>
      </c>
      <c r="D8" s="4" t="s">
        <v>315</v>
      </c>
    </row>
    <row r="9" customFormat="false" ht="15" hidden="false" customHeight="false" outlineLevel="0" collapsed="false">
      <c r="A9" s="4" t="s">
        <v>316</v>
      </c>
      <c r="B9" s="9" t="n">
        <f aca="false">B7*B8</f>
        <v>6000</v>
      </c>
      <c r="D9" s="4" t="s">
        <v>317</v>
      </c>
    </row>
    <row r="10" customFormat="false" ht="15" hidden="false" customHeight="false" outlineLevel="0" collapsed="false">
      <c r="A10" s="4" t="s">
        <v>318</v>
      </c>
      <c r="B10" s="9" t="n">
        <f aca="false">B7-B9</f>
        <v>4000</v>
      </c>
      <c r="D10" s="4" t="s">
        <v>319</v>
      </c>
    </row>
    <row r="11" customFormat="false" ht="15" hidden="false" customHeight="false" outlineLevel="0" collapsed="false">
      <c r="A11" s="4" t="s">
        <v>320</v>
      </c>
      <c r="B11" s="10" t="n">
        <v>2500</v>
      </c>
    </row>
    <row r="12" customFormat="false" ht="15" hidden="false" customHeight="false" outlineLevel="0" collapsed="false">
      <c r="A12" s="4" t="s">
        <v>321</v>
      </c>
      <c r="B12" s="9" t="n">
        <f aca="false">B10-B11</f>
        <v>1500</v>
      </c>
    </row>
    <row r="13" customFormat="false" ht="15" hidden="false" customHeight="false" outlineLevel="0" collapsed="false">
      <c r="A13" s="4" t="s">
        <v>322</v>
      </c>
      <c r="B13" s="31" t="n">
        <v>0.25</v>
      </c>
    </row>
    <row r="14" customFormat="false" ht="15" hidden="false" customHeight="false" outlineLevel="0" collapsed="false">
      <c r="A14" s="4" t="s">
        <v>323</v>
      </c>
      <c r="B14" s="9" t="n">
        <f aca="false">B12*(1-B13)</f>
        <v>1125</v>
      </c>
    </row>
    <row r="15" customFormat="false" ht="15" hidden="false" customHeight="false" outlineLevel="0" collapsed="false">
      <c r="A15" s="2" t="s">
        <v>324</v>
      </c>
    </row>
    <row r="18" customFormat="false" ht="15" hidden="false" customHeight="false" outlineLevel="0" collapsed="false">
      <c r="A18" s="3" t="s">
        <v>325</v>
      </c>
    </row>
    <row r="19" customFormat="false" ht="23.85" hidden="false" customHeight="false" outlineLevel="0" collapsed="false">
      <c r="A19" s="5" t="s">
        <v>326</v>
      </c>
      <c r="B19" s="5" t="s">
        <v>327</v>
      </c>
      <c r="C19" s="5"/>
      <c r="D19" s="5" t="s">
        <v>328</v>
      </c>
      <c r="E19" s="5" t="s">
        <v>329</v>
      </c>
    </row>
    <row r="20" customFormat="false" ht="15" hidden="false" customHeight="false" outlineLevel="0" collapsed="false">
      <c r="A20" s="3" t="s">
        <v>330</v>
      </c>
      <c r="B20" s="37" t="str">
        <f aca="false">IF(H5=0,"n/a",B7/H5)</f>
        <v>n/a</v>
      </c>
      <c r="D20" s="16" t="s">
        <v>331</v>
      </c>
      <c r="E20" s="2" t="s">
        <v>332</v>
      </c>
    </row>
    <row r="21" customFormat="false" ht="15" hidden="false" customHeight="false" outlineLevel="0" collapsed="false">
      <c r="A21" s="3" t="s">
        <v>333</v>
      </c>
      <c r="B21" s="38" t="n">
        <f aca="false">B7+N(H6)</f>
        <v>10000</v>
      </c>
      <c r="D21" s="16" t="s">
        <v>334</v>
      </c>
      <c r="E21" s="2" t="s">
        <v>335</v>
      </c>
    </row>
    <row r="22" customFormat="false" ht="15" hidden="false" customHeight="false" outlineLevel="0" collapsed="false">
      <c r="A22" s="3" t="s">
        <v>336</v>
      </c>
      <c r="B22" s="37" t="str">
        <f aca="false">IFERROR(VLOOKUP("Tablet",Data!$K$5:$M$9,3,FALSE()),"Not found")</f>
        <v>Not found</v>
      </c>
      <c r="D22" s="16" t="s">
        <v>337</v>
      </c>
      <c r="E22" s="2" t="s">
        <v>338</v>
      </c>
    </row>
    <row r="23" customFormat="false" ht="15" hidden="false" customHeight="false" outlineLevel="0" collapsed="false">
      <c r="A23" s="3" t="s">
        <v>339</v>
      </c>
      <c r="B23" s="38" t="n">
        <f aca="false">SUM(B5:B6)</f>
        <v>520</v>
      </c>
      <c r="D23" s="16" t="s">
        <v>340</v>
      </c>
      <c r="E23" s="2" t="s">
        <v>341</v>
      </c>
    </row>
    <row r="24" customFormat="false" ht="15" hidden="false" customHeight="false" outlineLevel="0" collapsed="false">
      <c r="A24" s="3" t="s">
        <v>342</v>
      </c>
      <c r="D24" s="4" t="s">
        <v>343</v>
      </c>
      <c r="E24" s="2" t="s">
        <v>344</v>
      </c>
    </row>
    <row r="25" customFormat="false" ht="15" hidden="false" customHeight="false" outlineLevel="0" collapsed="false">
      <c r="A25" s="3" t="s">
        <v>345</v>
      </c>
      <c r="D25" s="4" t="s">
        <v>346</v>
      </c>
      <c r="E25" s="2" t="s">
        <v>347</v>
      </c>
    </row>
    <row r="26" customFormat="false" ht="15" hidden="false" customHeight="false" outlineLevel="0" collapsed="false">
      <c r="A26" s="3" t="s">
        <v>348</v>
      </c>
      <c r="D26" s="4" t="s">
        <v>349</v>
      </c>
      <c r="E26" s="2" t="s">
        <v>350</v>
      </c>
    </row>
    <row r="29" customFormat="false" ht="15" hidden="false" customHeight="false" outlineLevel="0" collapsed="false">
      <c r="A29" s="3" t="s">
        <v>351</v>
      </c>
    </row>
    <row r="30" customFormat="false" ht="15" hidden="false" customHeight="false" outlineLevel="0" collapsed="false">
      <c r="A30" s="5" t="s">
        <v>352</v>
      </c>
      <c r="B30" s="5" t="s">
        <v>188</v>
      </c>
    </row>
    <row r="31" customFormat="false" ht="15" hidden="false" customHeight="false" outlineLevel="0" collapsed="false">
      <c r="A31" s="4" t="s">
        <v>353</v>
      </c>
      <c r="B31" s="10" t="n">
        <v>1200</v>
      </c>
      <c r="D31" s="2" t="s">
        <v>354</v>
      </c>
    </row>
    <row r="32" customFormat="false" ht="15" hidden="false" customHeight="false" outlineLevel="0" collapsed="false">
      <c r="A32" s="4" t="s">
        <v>355</v>
      </c>
      <c r="B32" s="10" t="n">
        <v>800</v>
      </c>
      <c r="D32" s="2" t="s">
        <v>356</v>
      </c>
    </row>
    <row r="33" customFormat="false" ht="15" hidden="false" customHeight="false" outlineLevel="0" collapsed="false">
      <c r="A33" s="4" t="s">
        <v>357</v>
      </c>
      <c r="B33" s="10" t="n">
        <v>450</v>
      </c>
    </row>
    <row r="34" customFormat="false" ht="15" hidden="false" customHeight="false" outlineLevel="0" collapsed="false">
      <c r="A34" s="4" t="s">
        <v>358</v>
      </c>
      <c r="B34" s="10" t="n">
        <v>300</v>
      </c>
    </row>
    <row r="35" customFormat="false" ht="15" hidden="false" customHeight="false" outlineLevel="0" collapsed="false">
      <c r="A35" s="3" t="s">
        <v>359</v>
      </c>
      <c r="B35" s="11" t="n">
        <f aca="false">SUM(B31:B33)</f>
        <v>2450</v>
      </c>
    </row>
    <row r="36" customFormat="false" ht="15" hidden="false" customHeight="false" outlineLevel="0" collapsed="false">
      <c r="A36" s="24" t="s">
        <v>360</v>
      </c>
      <c r="B36" s="25" t="n">
        <f aca="false">SUM(B31:B34)</f>
        <v>2750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361</v>
      </c>
    </row>
    <row r="4" customFormat="false" ht="15" hidden="false" customHeight="false" outlineLevel="0" collapsed="false">
      <c r="A4" s="3" t="s">
        <v>362</v>
      </c>
      <c r="D4" s="5" t="s">
        <v>363</v>
      </c>
      <c r="E4" s="5" t="s">
        <v>364</v>
      </c>
      <c r="F4" s="5" t="s">
        <v>365</v>
      </c>
    </row>
    <row r="5" customFormat="false" ht="15" hidden="false" customHeight="false" outlineLevel="0" collapsed="false">
      <c r="A5" s="4" t="s">
        <v>68</v>
      </c>
      <c r="B5" s="39" t="s">
        <v>75</v>
      </c>
      <c r="D5" s="4" t="s">
        <v>366</v>
      </c>
      <c r="E5" s="4" t="s">
        <v>367</v>
      </c>
      <c r="F5" s="4" t="s">
        <v>368</v>
      </c>
    </row>
    <row r="6" customFormat="false" ht="15" hidden="false" customHeight="false" outlineLevel="0" collapsed="false">
      <c r="A6" s="4" t="s">
        <v>369</v>
      </c>
      <c r="B6" s="40" t="n">
        <v>3</v>
      </c>
      <c r="D6" s="4" t="s">
        <v>370</v>
      </c>
      <c r="E6" s="4" t="s">
        <v>371</v>
      </c>
      <c r="F6" s="4" t="s">
        <v>372</v>
      </c>
    </row>
    <row r="7" customFormat="false" ht="15" hidden="false" customHeight="false" outlineLevel="0" collapsed="false">
      <c r="A7" s="4" t="s">
        <v>373</v>
      </c>
      <c r="B7" s="41" t="n">
        <v>46303</v>
      </c>
      <c r="D7" s="4" t="s">
        <v>374</v>
      </c>
      <c r="E7" s="4" t="s">
        <v>375</v>
      </c>
      <c r="F7" s="4" t="s">
        <v>376</v>
      </c>
    </row>
    <row r="8" customFormat="false" ht="15" hidden="false" customHeight="false" outlineLevel="0" collapsed="false">
      <c r="A8" s="4" t="s">
        <v>377</v>
      </c>
      <c r="B8" s="42" t="n">
        <v>0.1</v>
      </c>
      <c r="D8" s="4" t="s">
        <v>378</v>
      </c>
      <c r="E8" s="4" t="s">
        <v>379</v>
      </c>
      <c r="F8" s="4" t="s">
        <v>380</v>
      </c>
    </row>
    <row r="9" customFormat="false" ht="15" hidden="false" customHeight="false" outlineLevel="0" collapsed="false">
      <c r="A9" s="4" t="s">
        <v>381</v>
      </c>
      <c r="B9" s="39" t="s">
        <v>382</v>
      </c>
      <c r="D9" s="4" t="s">
        <v>383</v>
      </c>
      <c r="E9" s="4" t="s">
        <v>384</v>
      </c>
      <c r="F9" s="4" t="s">
        <v>385</v>
      </c>
    </row>
    <row r="10" customFormat="false" ht="15" hidden="false" customHeight="false" outlineLevel="0" collapsed="false">
      <c r="A10" s="4" t="s">
        <v>386</v>
      </c>
      <c r="B10" s="39" t="s">
        <v>387</v>
      </c>
      <c r="D10" s="4" t="s">
        <v>388</v>
      </c>
      <c r="E10" s="4" t="s">
        <v>389</v>
      </c>
      <c r="F10" s="4" t="s">
        <v>390</v>
      </c>
    </row>
    <row r="12" customFormat="false" ht="15" hidden="false" customHeight="false" outlineLevel="0" collapsed="false">
      <c r="A12" s="4" t="s">
        <v>391</v>
      </c>
      <c r="B12" s="12" t="n">
        <f aca="false">VLOOKUP(B5,Data!$K$5:$M$9,3,FALSE())</f>
        <v>900</v>
      </c>
    </row>
    <row r="13" customFormat="false" ht="15" hidden="false" customHeight="false" outlineLevel="0" collapsed="false">
      <c r="A13" s="3" t="s">
        <v>392</v>
      </c>
      <c r="B13" s="11" t="n">
        <f aca="false">B6*B12*(1-B8)</f>
        <v>2430</v>
      </c>
    </row>
    <row r="16" customFormat="false" ht="15" hidden="false" customHeight="false" outlineLevel="0" collapsed="false">
      <c r="A16" s="3" t="s">
        <v>393</v>
      </c>
    </row>
    <row r="17" customFormat="false" ht="15" hidden="false" customHeight="false" outlineLevel="0" collapsed="false">
      <c r="A17" s="4" t="s">
        <v>394</v>
      </c>
    </row>
    <row r="18" customFormat="false" ht="15" hidden="false" customHeight="false" outlineLevel="0" collapsed="false">
      <c r="A18" s="4" t="s">
        <v>395</v>
      </c>
    </row>
    <row r="19" customFormat="false" ht="15" hidden="false" customHeight="false" outlineLevel="0" collapsed="false">
      <c r="A19" s="4" t="s">
        <v>396</v>
      </c>
    </row>
    <row r="20" customFormat="false" ht="15" hidden="false" customHeight="false" outlineLevel="0" collapsed="false">
      <c r="A20" s="4" t="s">
        <v>397</v>
      </c>
    </row>
    <row r="21" customFormat="false" ht="15" hidden="false" customHeight="false" outlineLevel="0" collapsed="false">
      <c r="A21" s="4" t="s">
        <v>398</v>
      </c>
    </row>
  </sheetData>
  <dataValidations count="6">
    <dataValidation allowBlank="false" error="Choose one of the five products." errorStyle="stop" errorTitle="Not on the list" operator="between" prompt="Pick a product from the list." promptTitle="Product" showDropDown="false" showErrorMessage="true" showInputMessage="true" sqref="B5" type="list">
      <formula1>Data!$K$5:$K$9</formula1>
      <formula2>0</formula2>
    </dataValidation>
    <dataValidation allowBlank="false" error="Enter a whole number between 1 and 100." errorStyle="stop" errorTitle="Invalid quantity" operator="between" prompt="Whole number from 1 to 100." promptTitle="Quantity" showDropDown="false" showErrorMessage="true" showInputMessage="true" sqref="B6" type="whole">
      <formula1>1</formula1>
      <formula2>100</formula2>
    </dataValidation>
    <dataValidation allowBlank="false" error="The date must be Jan 1, 2026 or later." errorStyle="stop" errorTitle="Invalid date" operator="greaterThanOrEqual" prompt="On or after Jan 1, 2026." promptTitle="Order date" showDropDown="false" showErrorMessage="true" showInputMessage="true" sqref="B7" type="date">
      <formula1>DATE(2026,1,1)</formula1>
      <formula2>0</formula2>
    </dataValidation>
    <dataValidation allowBlank="false" error="Discounts above 20% need approval. Continue?" errorStyle="warning" errorTitle="Large discount" operator="between" prompt="0% to 20%." promptTitle="Discount" showDropDown="false" showErrorMessage="true" showInputMessage="true" sqref="B8" type="decimal">
      <formula1>0</formula1>
      <formula2>0.2</formula2>
    </dataValidation>
    <dataValidation allowBlank="false" error="The code must be 5 characters and start with C." errorStyle="stop" errorTitle="Invalid code" operator="between" prompt="C followed by 4 characters, e.g. C1234." promptTitle="Customer code" showDropDown="false" showErrorMessage="true" showInputMessage="true" sqref="B9" type="custom">
      <formula1>AND(LEN(B9)=5,LEFT(B9,1)="C")</formula1>
      <formula2>0</formula2>
    </dataValidation>
    <dataValidation allowBlank="false" error="Choose Yes or No." errorStyle="stop" errorTitle="Invalid" operator="between" prompt="Yes or No." promptTitle="Rush" showDropDown="false" showErrorMessage="true" showInputMessage="true" sqref="B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5" min="4" style="0" width="3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10" min="8" style="0" width="12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399</v>
      </c>
    </row>
    <row r="3" customFormat="false" ht="15" hidden="false" customHeight="false" outlineLevel="0" collapsed="false">
      <c r="F3" s="3" t="s">
        <v>400</v>
      </c>
    </row>
    <row r="4" customFormat="false" ht="15" hidden="false" customHeight="false" outlineLevel="0" collapsed="false">
      <c r="A4" s="4" t="s">
        <v>401</v>
      </c>
      <c r="B4" s="10" t="n">
        <v>25000</v>
      </c>
      <c r="C4" s="2" t="s">
        <v>402</v>
      </c>
      <c r="F4" s="5" t="s">
        <v>403</v>
      </c>
      <c r="G4" s="5" t="s">
        <v>404</v>
      </c>
      <c r="H4" s="5" t="s">
        <v>405</v>
      </c>
      <c r="I4" s="5" t="s">
        <v>406</v>
      </c>
      <c r="J4" s="5" t="s">
        <v>407</v>
      </c>
      <c r="K4" s="5" t="s">
        <v>408</v>
      </c>
    </row>
    <row r="5" customFormat="false" ht="15" hidden="false" customHeight="false" outlineLevel="0" collapsed="false">
      <c r="A5" s="4" t="s">
        <v>409</v>
      </c>
      <c r="B5" s="43" t="n">
        <v>0.06</v>
      </c>
      <c r="F5" s="4" t="n">
        <v>1</v>
      </c>
      <c r="G5" s="44" t="n">
        <f aca="false">$B$4</f>
        <v>25000</v>
      </c>
      <c r="H5" s="44" t="n">
        <f aca="false">$B$9</f>
        <v>483.320038235698</v>
      </c>
      <c r="I5" s="44" t="n">
        <f aca="false">G5*$B$5/$B$7</f>
        <v>125</v>
      </c>
      <c r="J5" s="44" t="n">
        <f aca="false">H5-I5</f>
        <v>358.320038235698</v>
      </c>
      <c r="K5" s="44" t="n">
        <f aca="false">G5-J5</f>
        <v>24641.6799617643</v>
      </c>
    </row>
    <row r="6" customFormat="false" ht="15" hidden="false" customHeight="false" outlineLevel="0" collapsed="false">
      <c r="A6" s="4" t="s">
        <v>410</v>
      </c>
      <c r="B6" s="8" t="n">
        <v>5</v>
      </c>
      <c r="F6" s="4" t="n">
        <v>2</v>
      </c>
      <c r="G6" s="44" t="n">
        <f aca="false">K5</f>
        <v>24641.6799617643</v>
      </c>
      <c r="H6" s="44" t="n">
        <f aca="false">$B$9</f>
        <v>483.320038235698</v>
      </c>
      <c r="I6" s="44" t="n">
        <f aca="false">G6*$B$5/$B$7</f>
        <v>123.208399808822</v>
      </c>
      <c r="J6" s="44" t="n">
        <f aca="false">H6-I6</f>
        <v>360.111638426876</v>
      </c>
      <c r="K6" s="44" t="n">
        <f aca="false">G6-J6</f>
        <v>24281.5683233374</v>
      </c>
    </row>
    <row r="7" customFormat="false" ht="15" hidden="false" customHeight="false" outlineLevel="0" collapsed="false">
      <c r="A7" s="4" t="s">
        <v>411</v>
      </c>
      <c r="B7" s="8" t="n">
        <v>12</v>
      </c>
      <c r="F7" s="4" t="n">
        <v>3</v>
      </c>
      <c r="G7" s="44" t="n">
        <f aca="false">K6</f>
        <v>24281.5683233374</v>
      </c>
      <c r="H7" s="44" t="n">
        <f aca="false">$B$9</f>
        <v>483.320038235698</v>
      </c>
      <c r="I7" s="44" t="n">
        <f aca="false">G7*$B$5/$B$7</f>
        <v>121.407841616687</v>
      </c>
      <c r="J7" s="44" t="n">
        <f aca="false">H7-I7</f>
        <v>361.912196619011</v>
      </c>
      <c r="K7" s="44" t="n">
        <f aca="false">G7-J7</f>
        <v>23919.6561267184</v>
      </c>
    </row>
    <row r="8" customFormat="false" ht="15" hidden="false" customHeight="false" outlineLevel="0" collapsed="false">
      <c r="A8" s="3" t="s">
        <v>412</v>
      </c>
      <c r="F8" s="4" t="n">
        <v>4</v>
      </c>
      <c r="G8" s="44" t="n">
        <f aca="false">K7</f>
        <v>23919.6561267184</v>
      </c>
      <c r="H8" s="44" t="n">
        <f aca="false">$B$9</f>
        <v>483.320038235698</v>
      </c>
      <c r="I8" s="44" t="n">
        <f aca="false">G8*$B$5/$B$7</f>
        <v>119.598280633592</v>
      </c>
      <c r="J8" s="44" t="n">
        <f aca="false">H8-I8</f>
        <v>363.721757602106</v>
      </c>
      <c r="K8" s="44" t="n">
        <f aca="false">G8-J8</f>
        <v>23555.9343691163</v>
      </c>
    </row>
    <row r="9" customFormat="false" ht="15" hidden="false" customHeight="false" outlineLevel="0" collapsed="false">
      <c r="A9" s="4" t="s">
        <v>413</v>
      </c>
      <c r="B9" s="44" t="n">
        <f aca="false">PMT(B5/B7,B6*B7,-B4)</f>
        <v>483.320038235698</v>
      </c>
      <c r="C9" s="16" t="s">
        <v>414</v>
      </c>
      <c r="F9" s="4" t="n">
        <v>5</v>
      </c>
      <c r="G9" s="44" t="n">
        <f aca="false">K8</f>
        <v>23555.9343691163</v>
      </c>
      <c r="H9" s="44" t="n">
        <f aca="false">$B$9</f>
        <v>483.320038235698</v>
      </c>
      <c r="I9" s="44" t="n">
        <f aca="false">G9*$B$5/$B$7</f>
        <v>117.779671845582</v>
      </c>
      <c r="J9" s="44" t="n">
        <f aca="false">H9-I9</f>
        <v>365.540366390116</v>
      </c>
      <c r="K9" s="44" t="n">
        <f aca="false">G9-J9</f>
        <v>23190.3940027262</v>
      </c>
    </row>
    <row r="10" customFormat="false" ht="15" hidden="false" customHeight="false" outlineLevel="0" collapsed="false">
      <c r="A10" s="4" t="s">
        <v>415</v>
      </c>
      <c r="B10" s="44" t="n">
        <f aca="false">B9*B6*B7</f>
        <v>28999.2022941419</v>
      </c>
      <c r="C10" s="16" t="s">
        <v>416</v>
      </c>
      <c r="F10" s="4" t="n">
        <v>6</v>
      </c>
      <c r="G10" s="44" t="n">
        <f aca="false">K9</f>
        <v>23190.3940027262</v>
      </c>
      <c r="H10" s="44" t="n">
        <f aca="false">$B$9</f>
        <v>483.320038235698</v>
      </c>
      <c r="I10" s="44" t="n">
        <f aca="false">G10*$B$5/$B$7</f>
        <v>115.951970013631</v>
      </c>
      <c r="J10" s="44" t="n">
        <f aca="false">H10-I10</f>
        <v>367.368068222067</v>
      </c>
      <c r="K10" s="44" t="n">
        <f aca="false">G10-J10</f>
        <v>22823.0259345041</v>
      </c>
    </row>
    <row r="11" customFormat="false" ht="15" hidden="false" customHeight="false" outlineLevel="0" collapsed="false">
      <c r="A11" s="4" t="s">
        <v>417</v>
      </c>
      <c r="B11" s="44" t="n">
        <f aca="false">B10-B4</f>
        <v>3999.20229414188</v>
      </c>
      <c r="C11" s="16" t="s">
        <v>418</v>
      </c>
      <c r="F11" s="4" t="n">
        <v>7</v>
      </c>
      <c r="G11" s="44" t="n">
        <f aca="false">K10</f>
        <v>22823.0259345041</v>
      </c>
      <c r="H11" s="44" t="n">
        <f aca="false">$B$9</f>
        <v>483.320038235698</v>
      </c>
      <c r="I11" s="44" t="n">
        <f aca="false">G11*$B$5/$B$7</f>
        <v>114.115129672521</v>
      </c>
      <c r="J11" s="44" t="n">
        <f aca="false">H11-I11</f>
        <v>369.204908563177</v>
      </c>
      <c r="K11" s="44" t="n">
        <f aca="false">G11-J11</f>
        <v>22453.821025941</v>
      </c>
    </row>
    <row r="12" customFormat="false" ht="15" hidden="false" customHeight="false" outlineLevel="0" collapsed="false">
      <c r="A12" s="4" t="s">
        <v>419</v>
      </c>
      <c r="B12" s="44" t="n">
        <f aca="false">IPMT(B5/B7,1,B6*B7,-B4)</f>
        <v>125</v>
      </c>
      <c r="C12" s="16" t="s">
        <v>420</v>
      </c>
      <c r="F12" s="4" t="n">
        <v>8</v>
      </c>
      <c r="G12" s="44" t="n">
        <f aca="false">K11</f>
        <v>22453.821025941</v>
      </c>
      <c r="H12" s="44" t="n">
        <f aca="false">$B$9</f>
        <v>483.320038235698</v>
      </c>
      <c r="I12" s="44" t="n">
        <f aca="false">G12*$B$5/$B$7</f>
        <v>112.269105129705</v>
      </c>
      <c r="J12" s="44" t="n">
        <f aca="false">H12-I12</f>
        <v>371.050933105993</v>
      </c>
      <c r="K12" s="44" t="n">
        <f aca="false">G12-J12</f>
        <v>22082.770092835</v>
      </c>
    </row>
    <row r="13" customFormat="false" ht="15" hidden="false" customHeight="false" outlineLevel="0" collapsed="false">
      <c r="A13" s="4" t="s">
        <v>421</v>
      </c>
      <c r="B13" s="44" t="n">
        <f aca="false">PPMT(B5/B7,1,B6*B7,-B4)</f>
        <v>358.320038235698</v>
      </c>
      <c r="C13" s="16" t="s">
        <v>422</v>
      </c>
      <c r="F13" s="4" t="n">
        <v>9</v>
      </c>
      <c r="G13" s="44" t="n">
        <f aca="false">K12</f>
        <v>22082.770092835</v>
      </c>
      <c r="H13" s="44" t="n">
        <f aca="false">$B$9</f>
        <v>483.320038235698</v>
      </c>
      <c r="I13" s="44" t="n">
        <f aca="false">G13*$B$5/$B$7</f>
        <v>110.413850464175</v>
      </c>
      <c r="J13" s="44" t="n">
        <f aca="false">H13-I13</f>
        <v>372.906187771523</v>
      </c>
      <c r="K13" s="44" t="n">
        <f aca="false">G13-J13</f>
        <v>21709.8639050634</v>
      </c>
    </row>
    <row r="14" customFormat="false" ht="15" hidden="false" customHeight="false" outlineLevel="0" collapsed="false">
      <c r="A14" s="4" t="s">
        <v>423</v>
      </c>
      <c r="B14" s="45" t="n">
        <f aca="false">NPER(B5/B7,-B9,B4)</f>
        <v>60</v>
      </c>
      <c r="C14" s="16" t="s">
        <v>424</v>
      </c>
      <c r="F14" s="4" t="n">
        <v>10</v>
      </c>
      <c r="G14" s="44" t="n">
        <f aca="false">K13</f>
        <v>21709.8639050634</v>
      </c>
      <c r="H14" s="44" t="n">
        <f aca="false">$B$9</f>
        <v>483.320038235698</v>
      </c>
      <c r="I14" s="44" t="n">
        <f aca="false">G14*$B$5/$B$7</f>
        <v>108.549319525317</v>
      </c>
      <c r="J14" s="44" t="n">
        <f aca="false">H14-I14</f>
        <v>374.770718710381</v>
      </c>
      <c r="K14" s="44" t="n">
        <f aca="false">G14-J14</f>
        <v>21335.0931863531</v>
      </c>
    </row>
    <row r="15" customFormat="false" ht="15" hidden="false" customHeight="false" outlineLevel="0" collapsed="false">
      <c r="A15" s="4" t="s">
        <v>425</v>
      </c>
      <c r="B15" s="46" t="n">
        <f aca="false">RATE(B6*B7,-B9,B4)*B7</f>
        <v>0.0600000000000009</v>
      </c>
      <c r="C15" s="16" t="s">
        <v>426</v>
      </c>
      <c r="F15" s="4" t="n">
        <v>11</v>
      </c>
      <c r="G15" s="44" t="n">
        <f aca="false">K14</f>
        <v>21335.0931863531</v>
      </c>
      <c r="H15" s="44" t="n">
        <f aca="false">$B$9</f>
        <v>483.320038235698</v>
      </c>
      <c r="I15" s="44" t="n">
        <f aca="false">G15*$B$5/$B$7</f>
        <v>106.675465931765</v>
      </c>
      <c r="J15" s="44" t="n">
        <f aca="false">H15-I15</f>
        <v>376.644572303933</v>
      </c>
      <c r="K15" s="44" t="n">
        <f aca="false">G15-J15</f>
        <v>20958.4486140491</v>
      </c>
    </row>
    <row r="16" customFormat="false" ht="15" hidden="false" customHeight="false" outlineLevel="0" collapsed="false">
      <c r="F16" s="4" t="n">
        <v>12</v>
      </c>
      <c r="G16" s="44" t="n">
        <f aca="false">K15</f>
        <v>20958.4486140491</v>
      </c>
      <c r="H16" s="44" t="n">
        <f aca="false">$B$9</f>
        <v>483.320038235698</v>
      </c>
      <c r="I16" s="44" t="n">
        <f aca="false">G16*$B$5/$B$7</f>
        <v>104.792243070246</v>
      </c>
      <c r="J16" s="44" t="n">
        <f aca="false">H16-I16</f>
        <v>378.527795165452</v>
      </c>
      <c r="K16" s="44" t="n">
        <f aca="false">G16-J16</f>
        <v>20579.9208188837</v>
      </c>
    </row>
    <row r="17" customFormat="false" ht="15" hidden="false" customHeight="false" outlineLevel="0" collapsed="false">
      <c r="A17" s="3" t="s">
        <v>427</v>
      </c>
      <c r="F17" s="4" t="n">
        <v>13</v>
      </c>
      <c r="G17" s="44" t="n">
        <f aca="false">K16</f>
        <v>20579.9208188837</v>
      </c>
      <c r="H17" s="44" t="n">
        <f aca="false">$B$9</f>
        <v>483.320038235698</v>
      </c>
      <c r="I17" s="44" t="n">
        <f aca="false">G17*$B$5/$B$7</f>
        <v>102.899604094418</v>
      </c>
      <c r="J17" s="44" t="n">
        <f aca="false">H17-I17</f>
        <v>380.42043414128</v>
      </c>
      <c r="K17" s="44" t="n">
        <f aca="false">G17-J17</f>
        <v>20199.5003847424</v>
      </c>
    </row>
    <row r="18" customFormat="false" ht="15" hidden="false" customHeight="false" outlineLevel="0" collapsed="false">
      <c r="A18" s="4" t="s">
        <v>428</v>
      </c>
      <c r="B18" s="10" t="n">
        <v>200</v>
      </c>
      <c r="F18" s="4" t="n">
        <v>14</v>
      </c>
      <c r="G18" s="44" t="n">
        <f aca="false">K17</f>
        <v>20199.5003847424</v>
      </c>
      <c r="H18" s="44" t="n">
        <f aca="false">$B$9</f>
        <v>483.320038235698</v>
      </c>
      <c r="I18" s="44" t="n">
        <f aca="false">G18*$B$5/$B$7</f>
        <v>100.997501923712</v>
      </c>
      <c r="J18" s="44" t="n">
        <f aca="false">H18-I18</f>
        <v>382.322536311986</v>
      </c>
      <c r="K18" s="44" t="n">
        <f aca="false">G18-J18</f>
        <v>19817.1778484304</v>
      </c>
    </row>
    <row r="19" customFormat="false" ht="15" hidden="false" customHeight="false" outlineLevel="0" collapsed="false">
      <c r="A19" s="4" t="s">
        <v>429</v>
      </c>
      <c r="B19" s="43" t="n">
        <v>0.05</v>
      </c>
      <c r="F19" s="4" t="n">
        <v>15</v>
      </c>
      <c r="G19" s="44" t="n">
        <f aca="false">K18</f>
        <v>19817.1778484304</v>
      </c>
      <c r="H19" s="44" t="n">
        <f aca="false">$B$9</f>
        <v>483.320038235698</v>
      </c>
      <c r="I19" s="44" t="n">
        <f aca="false">G19*$B$5/$B$7</f>
        <v>99.085889242152</v>
      </c>
      <c r="J19" s="44" t="n">
        <f aca="false">H19-I19</f>
        <v>384.234148993546</v>
      </c>
      <c r="K19" s="44" t="n">
        <f aca="false">G19-J19</f>
        <v>19432.9436994369</v>
      </c>
    </row>
    <row r="20" customFormat="false" ht="15" hidden="false" customHeight="false" outlineLevel="0" collapsed="false">
      <c r="A20" s="4" t="s">
        <v>430</v>
      </c>
      <c r="B20" s="47" t="n">
        <v>10</v>
      </c>
      <c r="F20" s="4" t="n">
        <v>16</v>
      </c>
      <c r="G20" s="44" t="n">
        <f aca="false">K19</f>
        <v>19432.9436994369</v>
      </c>
      <c r="H20" s="44" t="n">
        <f aca="false">$B$9</f>
        <v>483.320038235698</v>
      </c>
      <c r="I20" s="44" t="n">
        <f aca="false">G20*$B$5/$B$7</f>
        <v>97.1647184971843</v>
      </c>
      <c r="J20" s="44" t="n">
        <f aca="false">H20-I20</f>
        <v>386.155319738514</v>
      </c>
      <c r="K20" s="44" t="n">
        <f aca="false">G20-J20</f>
        <v>19046.7883796983</v>
      </c>
    </row>
    <row r="21" customFormat="false" ht="15" hidden="false" customHeight="false" outlineLevel="0" collapsed="false">
      <c r="A21" s="4" t="s">
        <v>431</v>
      </c>
      <c r="B21" s="44" t="n">
        <f aca="false">FV(B19/12,B20*12,-B18)</f>
        <v>31056.4558891334</v>
      </c>
      <c r="C21" s="16" t="s">
        <v>432</v>
      </c>
      <c r="F21" s="4" t="n">
        <v>17</v>
      </c>
      <c r="G21" s="44" t="n">
        <f aca="false">K20</f>
        <v>19046.7883796983</v>
      </c>
      <c r="H21" s="44" t="n">
        <f aca="false">$B$9</f>
        <v>483.320038235698</v>
      </c>
      <c r="I21" s="44" t="n">
        <f aca="false">G21*$B$5/$B$7</f>
        <v>95.2339418984917</v>
      </c>
      <c r="J21" s="44" t="n">
        <f aca="false">H21-I21</f>
        <v>388.086096337206</v>
      </c>
      <c r="K21" s="44" t="n">
        <f aca="false">G21-J21</f>
        <v>18658.7022833611</v>
      </c>
    </row>
    <row r="22" customFormat="false" ht="15" hidden="false" customHeight="false" outlineLevel="0" collapsed="false">
      <c r="F22" s="4" t="n">
        <v>18</v>
      </c>
      <c r="G22" s="44" t="n">
        <f aca="false">K21</f>
        <v>18658.7022833611</v>
      </c>
      <c r="H22" s="44" t="n">
        <f aca="false">$B$9</f>
        <v>483.320038235698</v>
      </c>
      <c r="I22" s="44" t="n">
        <f aca="false">G22*$B$5/$B$7</f>
        <v>93.2935114168056</v>
      </c>
      <c r="J22" s="44" t="n">
        <f aca="false">H22-I22</f>
        <v>390.026526818892</v>
      </c>
      <c r="K22" s="44" t="n">
        <f aca="false">G22-J22</f>
        <v>18268.6757565422</v>
      </c>
    </row>
    <row r="23" customFormat="false" ht="15" hidden="false" customHeight="false" outlineLevel="0" collapsed="false">
      <c r="A23" s="3" t="s">
        <v>433</v>
      </c>
      <c r="F23" s="4" t="n">
        <v>19</v>
      </c>
      <c r="G23" s="44" t="n">
        <f aca="false">K22</f>
        <v>18268.6757565422</v>
      </c>
      <c r="H23" s="44" t="n">
        <f aca="false">$B$9</f>
        <v>483.320038235698</v>
      </c>
      <c r="I23" s="44" t="n">
        <f aca="false">G23*$B$5/$B$7</f>
        <v>91.3433787827112</v>
      </c>
      <c r="J23" s="44" t="n">
        <f aca="false">H23-I23</f>
        <v>391.976659452987</v>
      </c>
      <c r="K23" s="44" t="n">
        <f aca="false">G23-J23</f>
        <v>17876.6990970893</v>
      </c>
    </row>
    <row r="24" customFormat="false" ht="15" hidden="false" customHeight="false" outlineLevel="0" collapsed="false">
      <c r="A24" s="4" t="s">
        <v>434</v>
      </c>
      <c r="B24" s="10" t="n">
        <v>10000</v>
      </c>
      <c r="F24" s="4" t="n">
        <v>20</v>
      </c>
      <c r="G24" s="44" t="n">
        <f aca="false">K23</f>
        <v>17876.6990970893</v>
      </c>
      <c r="H24" s="44" t="n">
        <f aca="false">$B$9</f>
        <v>483.320038235698</v>
      </c>
      <c r="I24" s="44" t="n">
        <f aca="false">G24*$B$5/$B$7</f>
        <v>89.3834954854463</v>
      </c>
      <c r="J24" s="44" t="n">
        <f aca="false">H24-I24</f>
        <v>393.936542750252</v>
      </c>
      <c r="K24" s="44" t="n">
        <f aca="false">G24-J24</f>
        <v>17482.762554339</v>
      </c>
    </row>
    <row r="25" customFormat="false" ht="15" hidden="false" customHeight="false" outlineLevel="0" collapsed="false">
      <c r="A25" s="4" t="s">
        <v>435</v>
      </c>
      <c r="B25" s="47" t="n">
        <v>5</v>
      </c>
      <c r="F25" s="4" t="n">
        <v>21</v>
      </c>
      <c r="G25" s="44" t="n">
        <f aca="false">K24</f>
        <v>17482.762554339</v>
      </c>
      <c r="H25" s="44" t="n">
        <f aca="false">$B$9</f>
        <v>483.320038235698</v>
      </c>
      <c r="I25" s="44" t="n">
        <f aca="false">G25*$B$5/$B$7</f>
        <v>87.413812771695</v>
      </c>
      <c r="J25" s="44" t="n">
        <f aca="false">H25-I25</f>
        <v>395.906225464003</v>
      </c>
      <c r="K25" s="44" t="n">
        <f aca="false">G25-J25</f>
        <v>17086.856328875</v>
      </c>
    </row>
    <row r="26" customFormat="false" ht="15" hidden="false" customHeight="false" outlineLevel="0" collapsed="false">
      <c r="A26" s="4" t="s">
        <v>436</v>
      </c>
      <c r="B26" s="43" t="n">
        <v>0.05</v>
      </c>
      <c r="F26" s="4" t="n">
        <v>22</v>
      </c>
      <c r="G26" s="44" t="n">
        <f aca="false">K25</f>
        <v>17086.856328875</v>
      </c>
      <c r="H26" s="44" t="n">
        <f aca="false">$B$9</f>
        <v>483.320038235698</v>
      </c>
      <c r="I26" s="44" t="n">
        <f aca="false">G26*$B$5/$B$7</f>
        <v>85.434281644375</v>
      </c>
      <c r="J26" s="44" t="n">
        <f aca="false">H26-I26</f>
        <v>397.885756591323</v>
      </c>
      <c r="K26" s="44" t="n">
        <f aca="false">G26-J26</f>
        <v>16688.9705722837</v>
      </c>
    </row>
    <row r="27" customFormat="false" ht="15" hidden="false" customHeight="false" outlineLevel="0" collapsed="false">
      <c r="A27" s="4" t="s">
        <v>437</v>
      </c>
      <c r="B27" s="44" t="n">
        <f aca="false">PV(B26,B25,0,-B24)</f>
        <v>7835.26166468459</v>
      </c>
      <c r="C27" s="16" t="s">
        <v>438</v>
      </c>
      <c r="F27" s="4" t="n">
        <v>23</v>
      </c>
      <c r="G27" s="44" t="n">
        <f aca="false">K26</f>
        <v>16688.9705722837</v>
      </c>
      <c r="H27" s="44" t="n">
        <f aca="false">$B$9</f>
        <v>483.320038235698</v>
      </c>
      <c r="I27" s="44" t="n">
        <f aca="false">G27*$B$5/$B$7</f>
        <v>83.4448528614184</v>
      </c>
      <c r="J27" s="44" t="n">
        <f aca="false">H27-I27</f>
        <v>399.87518537428</v>
      </c>
      <c r="K27" s="44" t="n">
        <f aca="false">G27-J27</f>
        <v>16289.0953869094</v>
      </c>
    </row>
    <row r="28" customFormat="false" ht="15" hidden="false" customHeight="false" outlineLevel="0" collapsed="false">
      <c r="F28" s="4" t="n">
        <v>24</v>
      </c>
      <c r="G28" s="44" t="n">
        <f aca="false">K27</f>
        <v>16289.0953869094</v>
      </c>
      <c r="H28" s="44" t="n">
        <f aca="false">$B$9</f>
        <v>483.320038235698</v>
      </c>
      <c r="I28" s="44" t="n">
        <f aca="false">G28*$B$5/$B$7</f>
        <v>81.445476934547</v>
      </c>
      <c r="J28" s="44" t="n">
        <f aca="false">H28-I28</f>
        <v>401.874561301151</v>
      </c>
      <c r="K28" s="44" t="n">
        <f aca="false">G28-J28</f>
        <v>15887.2208256082</v>
      </c>
    </row>
    <row r="29" customFormat="false" ht="15" hidden="false" customHeight="false" outlineLevel="0" collapsed="false">
      <c r="A29" s="3" t="s">
        <v>439</v>
      </c>
      <c r="F29" s="4" t="n">
        <v>25</v>
      </c>
      <c r="G29" s="44" t="n">
        <f aca="false">K28</f>
        <v>15887.2208256082</v>
      </c>
      <c r="H29" s="44" t="n">
        <f aca="false">$B$9</f>
        <v>483.320038235698</v>
      </c>
      <c r="I29" s="44" t="n">
        <f aca="false">G29*$B$5/$B$7</f>
        <v>79.4361041280412</v>
      </c>
      <c r="J29" s="44" t="n">
        <f aca="false">H29-I29</f>
        <v>403.883934107657</v>
      </c>
      <c r="K29" s="44" t="n">
        <f aca="false">G29-J29</f>
        <v>15483.3368915006</v>
      </c>
    </row>
    <row r="30" customFormat="false" ht="15" hidden="false" customHeight="false" outlineLevel="0" collapsed="false">
      <c r="A30" s="4" t="s">
        <v>436</v>
      </c>
      <c r="B30" s="43" t="n">
        <v>0.08</v>
      </c>
      <c r="F30" s="4" t="n">
        <v>26</v>
      </c>
      <c r="G30" s="44" t="n">
        <f aca="false">K29</f>
        <v>15483.3368915006</v>
      </c>
      <c r="H30" s="44" t="n">
        <f aca="false">$B$9</f>
        <v>483.320038235698</v>
      </c>
      <c r="I30" s="44" t="n">
        <f aca="false">G30*$B$5/$B$7</f>
        <v>77.4166844575029</v>
      </c>
      <c r="J30" s="44" t="n">
        <f aca="false">H30-I30</f>
        <v>405.903353778195</v>
      </c>
      <c r="K30" s="44" t="n">
        <f aca="false">G30-J30</f>
        <v>15077.4335377224</v>
      </c>
    </row>
    <row r="31" customFormat="false" ht="15" hidden="false" customHeight="false" outlineLevel="0" collapsed="false">
      <c r="A31" s="4" t="s">
        <v>440</v>
      </c>
      <c r="B31" s="10" t="n">
        <v>-10000</v>
      </c>
      <c r="F31" s="4" t="n">
        <v>27</v>
      </c>
      <c r="G31" s="44" t="n">
        <f aca="false">K30</f>
        <v>15077.4335377224</v>
      </c>
      <c r="H31" s="44" t="n">
        <f aca="false">$B$9</f>
        <v>483.320038235698</v>
      </c>
      <c r="I31" s="44" t="n">
        <f aca="false">G31*$B$5/$B$7</f>
        <v>75.387167688612</v>
      </c>
      <c r="J31" s="44" t="n">
        <f aca="false">H31-I31</f>
        <v>407.932870547086</v>
      </c>
      <c r="K31" s="44" t="n">
        <f aca="false">G31-J31</f>
        <v>14669.5006671753</v>
      </c>
    </row>
    <row r="32" customFormat="false" ht="15" hidden="false" customHeight="false" outlineLevel="0" collapsed="false">
      <c r="A32" s="4" t="s">
        <v>441</v>
      </c>
      <c r="B32" s="10" t="n">
        <v>3000</v>
      </c>
      <c r="F32" s="4" t="n">
        <v>28</v>
      </c>
      <c r="G32" s="44" t="n">
        <f aca="false">K31</f>
        <v>14669.5006671753</v>
      </c>
      <c r="H32" s="44" t="n">
        <f aca="false">$B$9</f>
        <v>483.320038235698</v>
      </c>
      <c r="I32" s="44" t="n">
        <f aca="false">G32*$B$5/$B$7</f>
        <v>73.3475033358765</v>
      </c>
      <c r="J32" s="44" t="n">
        <f aca="false">H32-I32</f>
        <v>409.972534899821</v>
      </c>
      <c r="K32" s="44" t="n">
        <f aca="false">G32-J32</f>
        <v>14259.5281322755</v>
      </c>
    </row>
    <row r="33" customFormat="false" ht="15" hidden="false" customHeight="false" outlineLevel="0" collapsed="false">
      <c r="A33" s="4" t="s">
        <v>442</v>
      </c>
      <c r="B33" s="10" t="n">
        <v>4000</v>
      </c>
      <c r="F33" s="4" t="n">
        <v>29</v>
      </c>
      <c r="G33" s="44" t="n">
        <f aca="false">K32</f>
        <v>14259.5281322755</v>
      </c>
      <c r="H33" s="44" t="n">
        <f aca="false">$B$9</f>
        <v>483.320038235698</v>
      </c>
      <c r="I33" s="44" t="n">
        <f aca="false">G33*$B$5/$B$7</f>
        <v>71.2976406613774</v>
      </c>
      <c r="J33" s="44" t="n">
        <f aca="false">H33-I33</f>
        <v>412.02239757432</v>
      </c>
      <c r="K33" s="44" t="n">
        <f aca="false">G33-J33</f>
        <v>13847.5057347012</v>
      </c>
    </row>
    <row r="34" customFormat="false" ht="15" hidden="false" customHeight="false" outlineLevel="0" collapsed="false">
      <c r="A34" s="4" t="s">
        <v>443</v>
      </c>
      <c r="B34" s="10" t="n">
        <v>4000</v>
      </c>
      <c r="F34" s="4" t="n">
        <v>30</v>
      </c>
      <c r="G34" s="44" t="n">
        <f aca="false">K33</f>
        <v>13847.5057347012</v>
      </c>
      <c r="H34" s="44" t="n">
        <f aca="false">$B$9</f>
        <v>483.320038235698</v>
      </c>
      <c r="I34" s="44" t="n">
        <f aca="false">G34*$B$5/$B$7</f>
        <v>69.2375286735058</v>
      </c>
      <c r="J34" s="44" t="n">
        <f aca="false">H34-I34</f>
        <v>414.082509562192</v>
      </c>
      <c r="K34" s="44" t="n">
        <f aca="false">G34-J34</f>
        <v>13433.423225139</v>
      </c>
    </row>
    <row r="35" customFormat="false" ht="15" hidden="false" customHeight="false" outlineLevel="0" collapsed="false">
      <c r="A35" s="4" t="s">
        <v>444</v>
      </c>
      <c r="B35" s="10" t="n">
        <v>3000</v>
      </c>
      <c r="F35" s="4" t="n">
        <v>31</v>
      </c>
      <c r="G35" s="44" t="n">
        <f aca="false">K34</f>
        <v>13433.423225139</v>
      </c>
      <c r="H35" s="44" t="n">
        <f aca="false">$B$9</f>
        <v>483.320038235698</v>
      </c>
      <c r="I35" s="44" t="n">
        <f aca="false">G35*$B$5/$B$7</f>
        <v>67.1671161256949</v>
      </c>
      <c r="J35" s="44" t="n">
        <f aca="false">H35-I35</f>
        <v>416.152922110003</v>
      </c>
      <c r="K35" s="44" t="n">
        <f aca="false">G35-J35</f>
        <v>13017.270303029</v>
      </c>
    </row>
    <row r="36" customFormat="false" ht="15" hidden="false" customHeight="false" outlineLevel="0" collapsed="false">
      <c r="A36" s="4" t="s">
        <v>445</v>
      </c>
      <c r="B36" s="44" t="n">
        <f aca="false">NPV(B30,B32:B35)+B31</f>
        <v>1587.55158145495</v>
      </c>
      <c r="C36" s="16" t="s">
        <v>446</v>
      </c>
      <c r="F36" s="4" t="n">
        <v>32</v>
      </c>
      <c r="G36" s="44" t="n">
        <f aca="false">K35</f>
        <v>13017.270303029</v>
      </c>
      <c r="H36" s="44" t="n">
        <f aca="false">$B$9</f>
        <v>483.320038235698</v>
      </c>
      <c r="I36" s="44" t="n">
        <f aca="false">G36*$B$5/$B$7</f>
        <v>65.0863515151448</v>
      </c>
      <c r="J36" s="44" t="n">
        <f aca="false">H36-I36</f>
        <v>418.233686720553</v>
      </c>
      <c r="K36" s="44" t="n">
        <f aca="false">G36-J36</f>
        <v>12599.0366163084</v>
      </c>
    </row>
    <row r="37" customFormat="false" ht="15" hidden="false" customHeight="false" outlineLevel="0" collapsed="false">
      <c r="A37" s="4" t="s">
        <v>447</v>
      </c>
      <c r="B37" s="46" t="n">
        <f aca="false">IRR(B31:B35)</f>
        <v>0.148950281273755</v>
      </c>
      <c r="C37" s="16" t="s">
        <v>448</v>
      </c>
      <c r="F37" s="4" t="n">
        <v>33</v>
      </c>
      <c r="G37" s="44" t="n">
        <f aca="false">K36</f>
        <v>12599.0366163084</v>
      </c>
      <c r="H37" s="44" t="n">
        <f aca="false">$B$9</f>
        <v>483.320038235698</v>
      </c>
      <c r="I37" s="44" t="n">
        <f aca="false">G37*$B$5/$B$7</f>
        <v>62.9951830815421</v>
      </c>
      <c r="J37" s="44" t="n">
        <f aca="false">H37-I37</f>
        <v>420.324855154156</v>
      </c>
      <c r="K37" s="44" t="n">
        <f aca="false">G37-J37</f>
        <v>12178.7117611543</v>
      </c>
    </row>
    <row r="38" customFormat="false" ht="15" hidden="false" customHeight="false" outlineLevel="0" collapsed="false">
      <c r="F38" s="4" t="n">
        <v>34</v>
      </c>
      <c r="G38" s="44" t="n">
        <f aca="false">K37</f>
        <v>12178.7117611543</v>
      </c>
      <c r="H38" s="44" t="n">
        <f aca="false">$B$9</f>
        <v>483.320038235698</v>
      </c>
      <c r="I38" s="44" t="n">
        <f aca="false">G38*$B$5/$B$7</f>
        <v>60.8935588057713</v>
      </c>
      <c r="J38" s="44" t="n">
        <f aca="false">H38-I38</f>
        <v>422.426479429927</v>
      </c>
      <c r="K38" s="44" t="n">
        <f aca="false">G38-J38</f>
        <v>11756.2852817243</v>
      </c>
    </row>
    <row r="39" customFormat="false" ht="15" hidden="false" customHeight="false" outlineLevel="0" collapsed="false">
      <c r="A39" s="3" t="s">
        <v>449</v>
      </c>
      <c r="F39" s="4" t="n">
        <v>35</v>
      </c>
      <c r="G39" s="44" t="n">
        <f aca="false">K38</f>
        <v>11756.2852817243</v>
      </c>
      <c r="H39" s="44" t="n">
        <f aca="false">$B$9</f>
        <v>483.320038235698</v>
      </c>
      <c r="I39" s="44" t="n">
        <f aca="false">G39*$B$5/$B$7</f>
        <v>58.7814264086217</v>
      </c>
      <c r="J39" s="44" t="n">
        <f aca="false">H39-I39</f>
        <v>424.538611827076</v>
      </c>
      <c r="K39" s="44" t="n">
        <f aca="false">G39-J39</f>
        <v>11331.7466698973</v>
      </c>
    </row>
    <row r="40" customFormat="false" ht="15" hidden="false" customHeight="false" outlineLevel="0" collapsed="false">
      <c r="A40" s="4" t="s">
        <v>450</v>
      </c>
      <c r="B40" s="10" t="n">
        <v>10000</v>
      </c>
      <c r="F40" s="4" t="n">
        <v>36</v>
      </c>
      <c r="G40" s="44" t="n">
        <f aca="false">K39</f>
        <v>11331.7466698973</v>
      </c>
      <c r="H40" s="44" t="n">
        <f aca="false">$B$9</f>
        <v>483.320038235698</v>
      </c>
      <c r="I40" s="44" t="n">
        <f aca="false">G40*$B$5/$B$7</f>
        <v>56.6587333494863</v>
      </c>
      <c r="J40" s="44" t="n">
        <f aca="false">H40-I40</f>
        <v>426.661304886212</v>
      </c>
      <c r="K40" s="44" t="n">
        <f aca="false">G40-J40</f>
        <v>10905.085365011</v>
      </c>
    </row>
    <row r="41" customFormat="false" ht="15" hidden="false" customHeight="false" outlineLevel="0" collapsed="false">
      <c r="A41" s="4" t="s">
        <v>451</v>
      </c>
      <c r="B41" s="10" t="n">
        <v>1000</v>
      </c>
      <c r="F41" s="4" t="n">
        <v>37</v>
      </c>
      <c r="G41" s="44" t="n">
        <f aca="false">K40</f>
        <v>10905.085365011</v>
      </c>
      <c r="H41" s="44" t="n">
        <f aca="false">$B$9</f>
        <v>483.320038235698</v>
      </c>
      <c r="I41" s="44" t="n">
        <f aca="false">G41*$B$5/$B$7</f>
        <v>54.5254268250552</v>
      </c>
      <c r="J41" s="44" t="n">
        <f aca="false">H41-I41</f>
        <v>428.794611410643</v>
      </c>
      <c r="K41" s="44" t="n">
        <f aca="false">G41-J41</f>
        <v>10476.2907536004</v>
      </c>
    </row>
    <row r="42" customFormat="false" ht="15" hidden="false" customHeight="false" outlineLevel="0" collapsed="false">
      <c r="A42" s="4" t="s">
        <v>452</v>
      </c>
      <c r="B42" s="47" t="n">
        <v>5</v>
      </c>
      <c r="F42" s="4" t="n">
        <v>38</v>
      </c>
      <c r="G42" s="44" t="n">
        <f aca="false">K41</f>
        <v>10476.2907536004</v>
      </c>
      <c r="H42" s="44" t="n">
        <f aca="false">$B$9</f>
        <v>483.320038235698</v>
      </c>
      <c r="I42" s="44" t="n">
        <f aca="false">G42*$B$5/$B$7</f>
        <v>52.381453768002</v>
      </c>
      <c r="J42" s="44" t="n">
        <f aca="false">H42-I42</f>
        <v>430.938584467696</v>
      </c>
      <c r="K42" s="44" t="n">
        <f aca="false">G42-J42</f>
        <v>10045.3521691327</v>
      </c>
    </row>
    <row r="43" customFormat="false" ht="15" hidden="false" customHeight="false" outlineLevel="0" collapsed="false">
      <c r="A43" s="4" t="s">
        <v>453</v>
      </c>
      <c r="B43" s="44" t="n">
        <f aca="false">SLN(B40,B41,B42)</f>
        <v>1800</v>
      </c>
      <c r="C43" s="16" t="s">
        <v>454</v>
      </c>
      <c r="F43" s="4" t="n">
        <v>39</v>
      </c>
      <c r="G43" s="44" t="n">
        <f aca="false">K42</f>
        <v>10045.3521691327</v>
      </c>
      <c r="H43" s="44" t="n">
        <f aca="false">$B$9</f>
        <v>483.320038235698</v>
      </c>
      <c r="I43" s="44" t="n">
        <f aca="false">G43*$B$5/$B$7</f>
        <v>50.2267608456635</v>
      </c>
      <c r="J43" s="44" t="n">
        <f aca="false">H43-I43</f>
        <v>433.093277390034</v>
      </c>
      <c r="K43" s="44" t="n">
        <f aca="false">G43-J43</f>
        <v>9612.25889174267</v>
      </c>
    </row>
    <row r="44" customFormat="false" ht="15" hidden="false" customHeight="false" outlineLevel="0" collapsed="false">
      <c r="F44" s="4" t="n">
        <v>40</v>
      </c>
      <c r="G44" s="44" t="n">
        <f aca="false">K43</f>
        <v>9612.25889174267</v>
      </c>
      <c r="H44" s="44" t="n">
        <f aca="false">$B$9</f>
        <v>483.320038235698</v>
      </c>
      <c r="I44" s="44" t="n">
        <f aca="false">G44*$B$5/$B$7</f>
        <v>48.0612944587134</v>
      </c>
      <c r="J44" s="44" t="n">
        <f aca="false">H44-I44</f>
        <v>435.258743776985</v>
      </c>
      <c r="K44" s="44" t="n">
        <f aca="false">G44-J44</f>
        <v>9177.00014796569</v>
      </c>
    </row>
    <row r="45" customFormat="false" ht="15" hidden="false" customHeight="false" outlineLevel="0" collapsed="false">
      <c r="F45" s="4" t="n">
        <v>41</v>
      </c>
      <c r="G45" s="44" t="n">
        <f aca="false">K44</f>
        <v>9177.00014796569</v>
      </c>
      <c r="H45" s="44" t="n">
        <f aca="false">$B$9</f>
        <v>483.320038235698</v>
      </c>
      <c r="I45" s="44" t="n">
        <f aca="false">G45*$B$5/$B$7</f>
        <v>45.8850007398284</v>
      </c>
      <c r="J45" s="44" t="n">
        <f aca="false">H45-I45</f>
        <v>437.435037495869</v>
      </c>
      <c r="K45" s="44" t="n">
        <f aca="false">G45-J45</f>
        <v>8739.56511046982</v>
      </c>
    </row>
    <row r="46" customFormat="false" ht="15" hidden="false" customHeight="false" outlineLevel="0" collapsed="false">
      <c r="F46" s="4" t="n">
        <v>42</v>
      </c>
      <c r="G46" s="44" t="n">
        <f aca="false">K45</f>
        <v>8739.56511046982</v>
      </c>
      <c r="H46" s="44" t="n">
        <f aca="false">$B$9</f>
        <v>483.320038235698</v>
      </c>
      <c r="I46" s="44" t="n">
        <f aca="false">G46*$B$5/$B$7</f>
        <v>43.6978255523491</v>
      </c>
      <c r="J46" s="44" t="n">
        <f aca="false">H46-I46</f>
        <v>439.622212683349</v>
      </c>
      <c r="K46" s="44" t="n">
        <f aca="false">G46-J46</f>
        <v>8299.94289778647</v>
      </c>
    </row>
    <row r="47" customFormat="false" ht="15" hidden="false" customHeight="false" outlineLevel="0" collapsed="false">
      <c r="F47" s="4" t="n">
        <v>43</v>
      </c>
      <c r="G47" s="44" t="n">
        <f aca="false">K46</f>
        <v>8299.94289778647</v>
      </c>
      <c r="H47" s="44" t="n">
        <f aca="false">$B$9</f>
        <v>483.320038235698</v>
      </c>
      <c r="I47" s="44" t="n">
        <f aca="false">G47*$B$5/$B$7</f>
        <v>41.4997144889324</v>
      </c>
      <c r="J47" s="44" t="n">
        <f aca="false">H47-I47</f>
        <v>441.820323746766</v>
      </c>
      <c r="K47" s="44" t="n">
        <f aca="false">G47-J47</f>
        <v>7858.1225740397</v>
      </c>
    </row>
    <row r="48" customFormat="false" ht="15" hidden="false" customHeight="false" outlineLevel="0" collapsed="false">
      <c r="F48" s="4" t="n">
        <v>44</v>
      </c>
      <c r="G48" s="44" t="n">
        <f aca="false">K47</f>
        <v>7858.1225740397</v>
      </c>
      <c r="H48" s="44" t="n">
        <f aca="false">$B$9</f>
        <v>483.320038235698</v>
      </c>
      <c r="I48" s="44" t="n">
        <f aca="false">G48*$B$5/$B$7</f>
        <v>39.2906128701985</v>
      </c>
      <c r="J48" s="44" t="n">
        <f aca="false">H48-I48</f>
        <v>444.029425365499</v>
      </c>
      <c r="K48" s="44" t="n">
        <f aca="false">G48-J48</f>
        <v>7414.09314867421</v>
      </c>
    </row>
    <row r="49" customFormat="false" ht="15" hidden="false" customHeight="false" outlineLevel="0" collapsed="false">
      <c r="F49" s="4" t="n">
        <v>45</v>
      </c>
      <c r="G49" s="44" t="n">
        <f aca="false">K48</f>
        <v>7414.09314867421</v>
      </c>
      <c r="H49" s="44" t="n">
        <f aca="false">$B$9</f>
        <v>483.320038235698</v>
      </c>
      <c r="I49" s="44" t="n">
        <f aca="false">G49*$B$5/$B$7</f>
        <v>37.070465743371</v>
      </c>
      <c r="J49" s="44" t="n">
        <f aca="false">H49-I49</f>
        <v>446.249572492327</v>
      </c>
      <c r="K49" s="44" t="n">
        <f aca="false">G49-J49</f>
        <v>6967.84357618188</v>
      </c>
    </row>
    <row r="50" customFormat="false" ht="15" hidden="false" customHeight="false" outlineLevel="0" collapsed="false">
      <c r="F50" s="4" t="n">
        <v>46</v>
      </c>
      <c r="G50" s="44" t="n">
        <f aca="false">K49</f>
        <v>6967.84357618188</v>
      </c>
      <c r="H50" s="44" t="n">
        <f aca="false">$B$9</f>
        <v>483.320038235698</v>
      </c>
      <c r="I50" s="44" t="n">
        <f aca="false">G50*$B$5/$B$7</f>
        <v>34.8392178809094</v>
      </c>
      <c r="J50" s="44" t="n">
        <f aca="false">H50-I50</f>
        <v>448.480820354789</v>
      </c>
      <c r="K50" s="44" t="n">
        <f aca="false">G50-J50</f>
        <v>6519.36275582709</v>
      </c>
    </row>
    <row r="51" customFormat="false" ht="15" hidden="false" customHeight="false" outlineLevel="0" collapsed="false">
      <c r="F51" s="4" t="n">
        <v>47</v>
      </c>
      <c r="G51" s="44" t="n">
        <f aca="false">K50</f>
        <v>6519.36275582709</v>
      </c>
      <c r="H51" s="44" t="n">
        <f aca="false">$B$9</f>
        <v>483.320038235698</v>
      </c>
      <c r="I51" s="44" t="n">
        <f aca="false">G51*$B$5/$B$7</f>
        <v>32.5968137791355</v>
      </c>
      <c r="J51" s="44" t="n">
        <f aca="false">H51-I51</f>
        <v>450.723224456562</v>
      </c>
      <c r="K51" s="44" t="n">
        <f aca="false">G51-J51</f>
        <v>6068.63953137053</v>
      </c>
    </row>
    <row r="52" customFormat="false" ht="15" hidden="false" customHeight="false" outlineLevel="0" collapsed="false">
      <c r="F52" s="4" t="n">
        <v>48</v>
      </c>
      <c r="G52" s="44" t="n">
        <f aca="false">K51</f>
        <v>6068.63953137053</v>
      </c>
      <c r="H52" s="44" t="n">
        <f aca="false">$B$9</f>
        <v>483.320038235698</v>
      </c>
      <c r="I52" s="44" t="n">
        <f aca="false">G52*$B$5/$B$7</f>
        <v>30.3431976568526</v>
      </c>
      <c r="J52" s="44" t="n">
        <f aca="false">H52-I52</f>
        <v>452.976840578845</v>
      </c>
      <c r="K52" s="44" t="n">
        <f aca="false">G52-J52</f>
        <v>5615.66269079168</v>
      </c>
    </row>
    <row r="53" customFormat="false" ht="15" hidden="false" customHeight="false" outlineLevel="0" collapsed="false">
      <c r="F53" s="4" t="n">
        <v>49</v>
      </c>
      <c r="G53" s="44" t="n">
        <f aca="false">K52</f>
        <v>5615.66269079168</v>
      </c>
      <c r="H53" s="44" t="n">
        <f aca="false">$B$9</f>
        <v>483.320038235698</v>
      </c>
      <c r="I53" s="44" t="n">
        <f aca="false">G53*$B$5/$B$7</f>
        <v>28.0783134539584</v>
      </c>
      <c r="J53" s="44" t="n">
        <f aca="false">H53-I53</f>
        <v>455.24172478174</v>
      </c>
      <c r="K53" s="44" t="n">
        <f aca="false">G53-J53</f>
        <v>5160.42096600994</v>
      </c>
    </row>
    <row r="54" customFormat="false" ht="15" hidden="false" customHeight="false" outlineLevel="0" collapsed="false">
      <c r="F54" s="4" t="n">
        <v>50</v>
      </c>
      <c r="G54" s="44" t="n">
        <f aca="false">K53</f>
        <v>5160.42096600994</v>
      </c>
      <c r="H54" s="44" t="n">
        <f aca="false">$B$9</f>
        <v>483.320038235698</v>
      </c>
      <c r="I54" s="44" t="n">
        <f aca="false">G54*$B$5/$B$7</f>
        <v>25.8021048300497</v>
      </c>
      <c r="J54" s="44" t="n">
        <f aca="false">H54-I54</f>
        <v>457.517933405648</v>
      </c>
      <c r="K54" s="44" t="n">
        <f aca="false">G54-J54</f>
        <v>4702.9030326043</v>
      </c>
    </row>
    <row r="55" customFormat="false" ht="15" hidden="false" customHeight="false" outlineLevel="0" collapsed="false">
      <c r="F55" s="4" t="n">
        <v>51</v>
      </c>
      <c r="G55" s="44" t="n">
        <f aca="false">K54</f>
        <v>4702.9030326043</v>
      </c>
      <c r="H55" s="44" t="n">
        <f aca="false">$B$9</f>
        <v>483.320038235698</v>
      </c>
      <c r="I55" s="44" t="n">
        <f aca="false">G55*$B$5/$B$7</f>
        <v>23.5145151630215</v>
      </c>
      <c r="J55" s="44" t="n">
        <f aca="false">H55-I55</f>
        <v>459.805523072676</v>
      </c>
      <c r="K55" s="44" t="n">
        <f aca="false">G55-J55</f>
        <v>4243.09750953162</v>
      </c>
    </row>
    <row r="56" customFormat="false" ht="15" hidden="false" customHeight="false" outlineLevel="0" collapsed="false">
      <c r="F56" s="4" t="n">
        <v>52</v>
      </c>
      <c r="G56" s="44" t="n">
        <f aca="false">K55</f>
        <v>4243.09750953162</v>
      </c>
      <c r="H56" s="44" t="n">
        <f aca="false">$B$9</f>
        <v>483.320038235698</v>
      </c>
      <c r="I56" s="44" t="n">
        <f aca="false">G56*$B$5/$B$7</f>
        <v>21.2154875476581</v>
      </c>
      <c r="J56" s="44" t="n">
        <f aca="false">H56-I56</f>
        <v>462.10455068804</v>
      </c>
      <c r="K56" s="44" t="n">
        <f aca="false">G56-J56</f>
        <v>3780.99295884358</v>
      </c>
    </row>
    <row r="57" customFormat="false" ht="15" hidden="false" customHeight="false" outlineLevel="0" collapsed="false">
      <c r="F57" s="4" t="n">
        <v>53</v>
      </c>
      <c r="G57" s="44" t="n">
        <f aca="false">K56</f>
        <v>3780.99295884358</v>
      </c>
      <c r="H57" s="44" t="n">
        <f aca="false">$B$9</f>
        <v>483.320038235698</v>
      </c>
      <c r="I57" s="44" t="n">
        <f aca="false">G57*$B$5/$B$7</f>
        <v>18.9049647942179</v>
      </c>
      <c r="J57" s="44" t="n">
        <f aca="false">H57-I57</f>
        <v>464.41507344148</v>
      </c>
      <c r="K57" s="44" t="n">
        <f aca="false">G57-J57</f>
        <v>3316.5778854021</v>
      </c>
    </row>
    <row r="58" customFormat="false" ht="15" hidden="false" customHeight="false" outlineLevel="0" collapsed="false">
      <c r="F58" s="4" t="n">
        <v>54</v>
      </c>
      <c r="G58" s="44" t="n">
        <f aca="false">K57</f>
        <v>3316.5778854021</v>
      </c>
      <c r="H58" s="44" t="n">
        <f aca="false">$B$9</f>
        <v>483.320038235698</v>
      </c>
      <c r="I58" s="44" t="n">
        <f aca="false">G58*$B$5/$B$7</f>
        <v>16.5828894270105</v>
      </c>
      <c r="J58" s="44" t="n">
        <f aca="false">H58-I58</f>
        <v>466.737148808687</v>
      </c>
      <c r="K58" s="44" t="n">
        <f aca="false">G58-J58</f>
        <v>2849.84073659341</v>
      </c>
    </row>
    <row r="59" customFormat="false" ht="15" hidden="false" customHeight="false" outlineLevel="0" collapsed="false">
      <c r="F59" s="4" t="n">
        <v>55</v>
      </c>
      <c r="G59" s="44" t="n">
        <f aca="false">K58</f>
        <v>2849.84073659341</v>
      </c>
      <c r="H59" s="44" t="n">
        <f aca="false">$B$9</f>
        <v>483.320038235698</v>
      </c>
      <c r="I59" s="44" t="n">
        <f aca="false">G59*$B$5/$B$7</f>
        <v>14.2492036829671</v>
      </c>
      <c r="J59" s="44" t="n">
        <f aca="false">H59-I59</f>
        <v>469.070834552731</v>
      </c>
      <c r="K59" s="44" t="n">
        <f aca="false">G59-J59</f>
        <v>2380.76990204068</v>
      </c>
    </row>
    <row r="60" customFormat="false" ht="15" hidden="false" customHeight="false" outlineLevel="0" collapsed="false">
      <c r="F60" s="4" t="n">
        <v>56</v>
      </c>
      <c r="G60" s="44" t="n">
        <f aca="false">K59</f>
        <v>2380.76990204068</v>
      </c>
      <c r="H60" s="44" t="n">
        <f aca="false">$B$9</f>
        <v>483.320038235698</v>
      </c>
      <c r="I60" s="44" t="n">
        <f aca="false">G60*$B$5/$B$7</f>
        <v>11.9038495102034</v>
      </c>
      <c r="J60" s="44" t="n">
        <f aca="false">H60-I60</f>
        <v>471.416188725495</v>
      </c>
      <c r="K60" s="44" t="n">
        <f aca="false">G60-J60</f>
        <v>1909.35371331519</v>
      </c>
    </row>
    <row r="61" customFormat="false" ht="15" hidden="false" customHeight="false" outlineLevel="0" collapsed="false">
      <c r="F61" s="4" t="n">
        <v>57</v>
      </c>
      <c r="G61" s="44" t="n">
        <f aca="false">K60</f>
        <v>1909.35371331519</v>
      </c>
      <c r="H61" s="44" t="n">
        <f aca="false">$B$9</f>
        <v>483.320038235698</v>
      </c>
      <c r="I61" s="44" t="n">
        <f aca="false">G61*$B$5/$B$7</f>
        <v>9.54676856657593</v>
      </c>
      <c r="J61" s="44" t="n">
        <f aca="false">H61-I61</f>
        <v>473.773269669122</v>
      </c>
      <c r="K61" s="44" t="n">
        <f aca="false">G61-J61</f>
        <v>1435.58044364606</v>
      </c>
    </row>
    <row r="62" customFormat="false" ht="15" hidden="false" customHeight="false" outlineLevel="0" collapsed="false">
      <c r="F62" s="4" t="n">
        <v>58</v>
      </c>
      <c r="G62" s="44" t="n">
        <f aca="false">K61</f>
        <v>1435.58044364606</v>
      </c>
      <c r="H62" s="44" t="n">
        <f aca="false">$B$9</f>
        <v>483.320038235698</v>
      </c>
      <c r="I62" s="44" t="n">
        <f aca="false">G62*$B$5/$B$7</f>
        <v>7.17790221823032</v>
      </c>
      <c r="J62" s="44" t="n">
        <f aca="false">H62-I62</f>
        <v>476.142136017468</v>
      </c>
      <c r="K62" s="44" t="n">
        <f aca="false">G62-J62</f>
        <v>959.438307628596</v>
      </c>
    </row>
    <row r="63" customFormat="false" ht="15" hidden="false" customHeight="false" outlineLevel="0" collapsed="false">
      <c r="F63" s="4" t="n">
        <v>59</v>
      </c>
      <c r="G63" s="44" t="n">
        <f aca="false">K62</f>
        <v>959.438307628596</v>
      </c>
      <c r="H63" s="44" t="n">
        <f aca="false">$B$9</f>
        <v>483.320038235698</v>
      </c>
      <c r="I63" s="44" t="n">
        <f aca="false">G63*$B$5/$B$7</f>
        <v>4.79719153814298</v>
      </c>
      <c r="J63" s="44" t="n">
        <f aca="false">H63-I63</f>
        <v>478.522846697555</v>
      </c>
      <c r="K63" s="44" t="n">
        <f aca="false">G63-J63</f>
        <v>480.915460931041</v>
      </c>
    </row>
    <row r="64" customFormat="false" ht="15" hidden="false" customHeight="false" outlineLevel="0" collapsed="false">
      <c r="F64" s="4" t="n">
        <v>60</v>
      </c>
      <c r="G64" s="44" t="n">
        <f aca="false">K63</f>
        <v>480.915460931041</v>
      </c>
      <c r="H64" s="44" t="n">
        <f aca="false">$B$9</f>
        <v>483.320038235698</v>
      </c>
      <c r="I64" s="44" t="n">
        <f aca="false">G64*$B$5/$B$7</f>
        <v>2.40457730465521</v>
      </c>
      <c r="J64" s="44" t="n">
        <f aca="false">H64-I64</f>
        <v>480.915460931043</v>
      </c>
      <c r="K64" s="44" t="n">
        <f aca="false">G64-J64</f>
        <v>0</v>
      </c>
    </row>
    <row r="66" customFormat="false" ht="15" hidden="false" customHeight="false" outlineLevel="0" collapsed="false">
      <c r="F66" s="3" t="s">
        <v>90</v>
      </c>
      <c r="I66" s="48" t="n">
        <f aca="false">SUM(I5:I64)</f>
        <v>3999.20229414188</v>
      </c>
      <c r="J66" s="48" t="n">
        <f aca="false">SUM(J5:J64)</f>
        <v>25000</v>
      </c>
    </row>
    <row r="67" customFormat="false" ht="15" hidden="false" customHeight="false" outlineLevel="0" collapsed="false">
      <c r="F67" s="2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456</v>
      </c>
    </row>
    <row r="4" customFormat="false" ht="15" hidden="false" customHeight="false" outlineLevel="0" collapsed="false">
      <c r="B4" s="5" t="s">
        <v>457</v>
      </c>
      <c r="C4" s="5" t="s">
        <v>458</v>
      </c>
    </row>
    <row r="5" customFormat="false" ht="15" hidden="false" customHeight="false" outlineLevel="0" collapsed="false">
      <c r="A5" s="4" t="s">
        <v>459</v>
      </c>
      <c r="B5" s="30" t="n">
        <v>0</v>
      </c>
      <c r="C5" s="30" t="n">
        <v>0</v>
      </c>
    </row>
    <row r="6" customFormat="false" ht="15" hidden="false" customHeight="false" outlineLevel="0" collapsed="false">
      <c r="A6" s="4" t="s">
        <v>460</v>
      </c>
      <c r="B6" s="10" t="n">
        <v>50</v>
      </c>
      <c r="C6" s="10" t="n">
        <v>30</v>
      </c>
    </row>
    <row r="8" customFormat="false" ht="15" hidden="false" customHeight="false" outlineLevel="0" collapsed="false">
      <c r="A8" s="3" t="s">
        <v>461</v>
      </c>
      <c r="B8" s="11" t="n">
        <f aca="false">SUMPRODUCT(B5:C5,B6:C6)</f>
        <v>0</v>
      </c>
    </row>
    <row r="10" customFormat="false" ht="15" hidden="false" customHeight="false" outlineLevel="0" collapsed="false">
      <c r="A10" s="5" t="s">
        <v>462</v>
      </c>
      <c r="B10" s="5" t="s">
        <v>457</v>
      </c>
      <c r="C10" s="5" t="s">
        <v>458</v>
      </c>
      <c r="D10" s="5" t="s">
        <v>463</v>
      </c>
      <c r="E10" s="5"/>
      <c r="F10" s="5" t="s">
        <v>464</v>
      </c>
    </row>
    <row r="11" customFormat="false" ht="15" hidden="false" customHeight="false" outlineLevel="0" collapsed="false">
      <c r="A11" s="4" t="s">
        <v>465</v>
      </c>
      <c r="B11" s="8" t="n">
        <v>4</v>
      </c>
      <c r="C11" s="8" t="n">
        <v>3</v>
      </c>
      <c r="D11" s="4" t="n">
        <f aca="false">SUMPRODUCT($B$5:$C$5,B11:C11)</f>
        <v>0</v>
      </c>
      <c r="E11" s="49" t="s">
        <v>466</v>
      </c>
      <c r="F11" s="8" t="n">
        <v>240</v>
      </c>
    </row>
    <row r="12" customFormat="false" ht="15" hidden="false" customHeight="false" outlineLevel="0" collapsed="false">
      <c r="A12" s="4" t="s">
        <v>467</v>
      </c>
      <c r="B12" s="8" t="n">
        <v>2</v>
      </c>
      <c r="C12" s="8" t="n">
        <v>1</v>
      </c>
      <c r="D12" s="4" t="n">
        <f aca="false">SUMPRODUCT($B$5:$C$5,B12:C12)</f>
        <v>0</v>
      </c>
      <c r="E12" s="49" t="s">
        <v>466</v>
      </c>
      <c r="F12" s="8" t="n">
        <v>100</v>
      </c>
    </row>
    <row r="15" customFormat="false" ht="15" hidden="false" customHeight="false" outlineLevel="0" collapsed="false">
      <c r="A15" s="3" t="s">
        <v>468</v>
      </c>
    </row>
    <row r="16" customFormat="false" ht="15" hidden="false" customHeight="false" outlineLevel="0" collapsed="false">
      <c r="A16" s="4" t="s">
        <v>469</v>
      </c>
    </row>
    <row r="17" customFormat="false" ht="15" hidden="false" customHeight="false" outlineLevel="0" collapsed="false">
      <c r="A17" s="4" t="s">
        <v>470</v>
      </c>
    </row>
    <row r="18" customFormat="false" ht="15" hidden="false" customHeight="false" outlineLevel="0" collapsed="false">
      <c r="A18" s="4" t="s">
        <v>471</v>
      </c>
    </row>
    <row r="19" customFormat="false" ht="15" hidden="false" customHeight="false" outlineLevel="0" collapsed="false">
      <c r="A19" s="4" t="s">
        <v>472</v>
      </c>
    </row>
    <row r="20" customFormat="false" ht="15" hidden="false" customHeight="false" outlineLevel="0" collapsed="false">
      <c r="A20" s="4" t="s">
        <v>473</v>
      </c>
    </row>
    <row r="21" customFormat="false" ht="15" hidden="false" customHeight="false" outlineLevel="0" collapsed="false">
      <c r="A21" s="4" t="s">
        <v>474</v>
      </c>
    </row>
    <row r="22" customFormat="false" ht="15" hidden="false" customHeight="false" outlineLevel="0" collapsed="false">
      <c r="A22" s="4" t="s">
        <v>475</v>
      </c>
    </row>
    <row r="23" customFormat="false" ht="15" hidden="false" customHeight="false" outlineLevel="0" collapsed="false">
      <c r="A23" s="4" t="s">
        <v>476</v>
      </c>
    </row>
    <row r="25" customFormat="false" ht="15" hidden="false" customHeight="false" outlineLevel="0" collapsed="false">
      <c r="A25" s="3" t="s">
        <v>477</v>
      </c>
    </row>
    <row r="26" customFormat="false" ht="15" hidden="false" customHeight="false" outlineLevel="0" collapsed="false">
      <c r="A26" s="24" t="s">
        <v>457</v>
      </c>
      <c r="B26" s="24" t="n">
        <v>30</v>
      </c>
    </row>
    <row r="27" customFormat="false" ht="15" hidden="false" customHeight="false" outlineLevel="0" collapsed="false">
      <c r="A27" s="24" t="s">
        <v>458</v>
      </c>
      <c r="B27" s="24" t="n">
        <v>40</v>
      </c>
    </row>
    <row r="28" customFormat="false" ht="15" hidden="false" customHeight="false" outlineLevel="0" collapsed="false">
      <c r="A28" s="24" t="s">
        <v>478</v>
      </c>
      <c r="B28" s="25" t="n">
        <f aca="false">B26*B6+B27*C6</f>
        <v>2700</v>
      </c>
    </row>
    <row r="29" customFormat="false" ht="15" hidden="false" customHeight="false" outlineLevel="0" collapsed="false">
      <c r="A29" s="2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480</v>
      </c>
    </row>
    <row r="4" customFormat="false" ht="15" hidden="false" customHeight="false" outlineLevel="0" collapsed="false">
      <c r="A4" s="4" t="s">
        <v>481</v>
      </c>
      <c r="B4" s="50" t="n">
        <v>10</v>
      </c>
      <c r="D4" s="5" t="s">
        <v>482</v>
      </c>
      <c r="E4" s="5" t="s">
        <v>299</v>
      </c>
    </row>
    <row r="5" customFormat="false" ht="15" hidden="false" customHeight="false" outlineLevel="0" collapsed="false">
      <c r="A5" s="4" t="s">
        <v>483</v>
      </c>
      <c r="B5" s="51" t="n">
        <v>6</v>
      </c>
      <c r="D5" s="10" t="n">
        <v>6</v>
      </c>
      <c r="E5" s="9" t="n">
        <f aca="false">(D5-$B$5)*($B$7-$B$8*D5)-$B$6</f>
        <v>-2000</v>
      </c>
    </row>
    <row r="6" customFormat="false" ht="15" hidden="false" customHeight="false" outlineLevel="0" collapsed="false">
      <c r="A6" s="4" t="s">
        <v>484</v>
      </c>
      <c r="B6" s="10" t="n">
        <v>2000</v>
      </c>
      <c r="D6" s="10" t="n">
        <v>10</v>
      </c>
      <c r="E6" s="9" t="n">
        <f aca="false">(D6-$B$5)*($B$7-$B$8*D6)-$B$6</f>
        <v>1200</v>
      </c>
    </row>
    <row r="7" customFormat="false" ht="15" hidden="false" customHeight="false" outlineLevel="0" collapsed="false">
      <c r="A7" s="4" t="s">
        <v>485</v>
      </c>
      <c r="B7" s="36" t="n">
        <v>1200</v>
      </c>
      <c r="D7" s="10" t="n">
        <v>14</v>
      </c>
      <c r="E7" s="9" t="n">
        <f aca="false">(D7-$B$5)*($B$7-$B$8*D7)-$B$6</f>
        <v>3120</v>
      </c>
    </row>
    <row r="8" customFormat="false" ht="15" hidden="false" customHeight="false" outlineLevel="0" collapsed="false">
      <c r="A8" s="4" t="s">
        <v>486</v>
      </c>
      <c r="B8" s="8" t="n">
        <v>40</v>
      </c>
      <c r="D8" s="10" t="n">
        <v>18</v>
      </c>
      <c r="E8" s="9" t="n">
        <f aca="false">(D8-$B$5)*($B$7-$B$8*D8)-$B$6</f>
        <v>3760</v>
      </c>
    </row>
    <row r="9" customFormat="false" ht="15" hidden="false" customHeight="false" outlineLevel="0" collapsed="false">
      <c r="D9" s="10" t="n">
        <v>22</v>
      </c>
      <c r="E9" s="9" t="n">
        <f aca="false">(D9-$B$5)*($B$7-$B$8*D9)-$B$6</f>
        <v>3120</v>
      </c>
    </row>
    <row r="10" customFormat="false" ht="15" hidden="false" customHeight="false" outlineLevel="0" collapsed="false">
      <c r="A10" s="4" t="s">
        <v>487</v>
      </c>
      <c r="B10" s="52" t="n">
        <f aca="false">B7-B8*B4</f>
        <v>800</v>
      </c>
      <c r="D10" s="10" t="n">
        <v>26</v>
      </c>
      <c r="E10" s="9" t="n">
        <f aca="false">(D10-$B$5)*($B$7-$B$8*D10)-$B$6</f>
        <v>1200</v>
      </c>
    </row>
    <row r="11" customFormat="false" ht="15" hidden="false" customHeight="false" outlineLevel="0" collapsed="false">
      <c r="A11" s="4" t="s">
        <v>72</v>
      </c>
      <c r="B11" s="9" t="n">
        <f aca="false">B4*B10</f>
        <v>8000</v>
      </c>
      <c r="D11" s="10" t="n">
        <v>30</v>
      </c>
      <c r="E11" s="9" t="n">
        <f aca="false">(D11-$B$5)*($B$7-$B$8*D11)-$B$6</f>
        <v>-2000</v>
      </c>
    </row>
    <row r="12" customFormat="false" ht="15" hidden="false" customHeight="false" outlineLevel="0" collapsed="false">
      <c r="A12" s="4" t="s">
        <v>488</v>
      </c>
      <c r="B12" s="9" t="n">
        <f aca="false">B6+B5*B10</f>
        <v>6800</v>
      </c>
    </row>
    <row r="13" customFormat="false" ht="15" hidden="false" customHeight="false" outlineLevel="0" collapsed="false">
      <c r="A13" s="3" t="s">
        <v>489</v>
      </c>
      <c r="B13" s="11" t="n">
        <f aca="false">B11-B12</f>
        <v>1200</v>
      </c>
    </row>
    <row r="16" customFormat="false" ht="15" hidden="false" customHeight="false" outlineLevel="0" collapsed="false">
      <c r="A16" s="3" t="s">
        <v>468</v>
      </c>
    </row>
    <row r="17" customFormat="false" ht="15" hidden="false" customHeight="false" outlineLevel="0" collapsed="false">
      <c r="A17" s="4" t="s">
        <v>470</v>
      </c>
    </row>
    <row r="18" customFormat="false" ht="15" hidden="false" customHeight="false" outlineLevel="0" collapsed="false">
      <c r="A18" s="4" t="s">
        <v>490</v>
      </c>
    </row>
    <row r="19" customFormat="false" ht="15" hidden="false" customHeight="false" outlineLevel="0" collapsed="false">
      <c r="A19" s="4" t="s">
        <v>491</v>
      </c>
    </row>
    <row r="20" customFormat="false" ht="15" hidden="false" customHeight="false" outlineLevel="0" collapsed="false">
      <c r="A20" s="4" t="s">
        <v>492</v>
      </c>
    </row>
    <row r="21" customFormat="false" ht="15" hidden="false" customHeight="false" outlineLevel="0" collapsed="false">
      <c r="A21" s="4" t="s">
        <v>493</v>
      </c>
    </row>
    <row r="22" customFormat="false" ht="15" hidden="false" customHeight="false" outlineLevel="0" collapsed="false">
      <c r="A22" s="4" t="s">
        <v>494</v>
      </c>
    </row>
    <row r="23" customFormat="false" ht="15" hidden="false" customHeight="false" outlineLevel="0" collapsed="false">
      <c r="A23" s="4" t="s">
        <v>495</v>
      </c>
    </row>
    <row r="25" customFormat="false" ht="15" hidden="false" customHeight="false" outlineLevel="0" collapsed="false">
      <c r="A25" s="3" t="s">
        <v>477</v>
      </c>
    </row>
    <row r="26" customFormat="false" ht="15" hidden="false" customHeight="false" outlineLevel="0" collapsed="false">
      <c r="A26" s="24" t="s">
        <v>496</v>
      </c>
      <c r="B26" s="53" t="n">
        <f aca="false">(B7/B8+B5)/2</f>
        <v>18</v>
      </c>
    </row>
    <row r="27" customFormat="false" ht="15" hidden="false" customHeight="false" outlineLevel="0" collapsed="false">
      <c r="A27" s="24" t="s">
        <v>497</v>
      </c>
      <c r="B27" s="25" t="n">
        <f aca="false">(B26-B5)*(B7-B8*B26)-B6</f>
        <v>3760</v>
      </c>
    </row>
    <row r="28" customFormat="false" ht="15" hidden="false" customHeight="false" outlineLevel="0" collapsed="false">
      <c r="A28" s="2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3"/>
    <col collapsed="false" customWidth="true" hidden="false" outlineLevel="0" max="5" min="5" style="0" width="3"/>
    <col collapsed="false" customWidth="true" hidden="false" outlineLevel="0" max="8" min="6" style="0" width="13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499</v>
      </c>
    </row>
    <row r="4" customFormat="false" ht="15" hidden="false" customHeight="false" outlineLevel="0" collapsed="false">
      <c r="A4" s="4" t="s">
        <v>401</v>
      </c>
      <c r="B4" s="10" t="n">
        <v>25000</v>
      </c>
    </row>
    <row r="5" customFormat="false" ht="15" hidden="false" customHeight="false" outlineLevel="0" collapsed="false">
      <c r="A5" s="4" t="s">
        <v>500</v>
      </c>
      <c r="B5" s="43" t="n">
        <v>0.06</v>
      </c>
    </row>
    <row r="6" customFormat="false" ht="15" hidden="false" customHeight="false" outlineLevel="0" collapsed="false">
      <c r="A6" s="4" t="s">
        <v>430</v>
      </c>
      <c r="B6" s="8" t="n">
        <v>5</v>
      </c>
    </row>
    <row r="7" customFormat="false" ht="15" hidden="false" customHeight="false" outlineLevel="0" collapsed="false">
      <c r="A7" s="3" t="s">
        <v>413</v>
      </c>
      <c r="B7" s="48" t="n">
        <f aca="false">PMT(B5/12,B6*12,-B4)</f>
        <v>483.320038235698</v>
      </c>
    </row>
    <row r="9" customFormat="false" ht="15" hidden="false" customHeight="false" outlineLevel="0" collapsed="false">
      <c r="A9" s="3" t="s">
        <v>501</v>
      </c>
      <c r="D9" s="3" t="s">
        <v>477</v>
      </c>
    </row>
    <row r="10" customFormat="false" ht="15" hidden="false" customHeight="false" outlineLevel="0" collapsed="false">
      <c r="A10" s="4" t="s">
        <v>248</v>
      </c>
      <c r="B10" s="44" t="n">
        <f aca="false">B7</f>
        <v>483.320038235698</v>
      </c>
      <c r="F10" s="4" t="s">
        <v>502</v>
      </c>
    </row>
    <row r="11" customFormat="false" ht="15" hidden="false" customHeight="false" outlineLevel="0" collapsed="false">
      <c r="A11" s="43" t="n">
        <v>0.04</v>
      </c>
      <c r="B11" s="50"/>
      <c r="D11" s="53" t="n">
        <f aca="false">PMT(A11/12,$B$6*12,-$B$4)</f>
        <v>460.413051381659</v>
      </c>
      <c r="F11" s="4" t="s">
        <v>503</v>
      </c>
    </row>
    <row r="12" customFormat="false" ht="15" hidden="false" customHeight="false" outlineLevel="0" collapsed="false">
      <c r="A12" s="43" t="n">
        <v>0.05</v>
      </c>
      <c r="B12" s="50"/>
      <c r="D12" s="53" t="n">
        <f aca="false">PMT(A12/12,$B$6*12,-$B$4)</f>
        <v>471.780841100273</v>
      </c>
      <c r="F12" s="4" t="s">
        <v>504</v>
      </c>
    </row>
    <row r="13" customFormat="false" ht="15" hidden="false" customHeight="false" outlineLevel="0" collapsed="false">
      <c r="A13" s="43" t="n">
        <v>0.06</v>
      </c>
      <c r="B13" s="50"/>
      <c r="D13" s="53" t="n">
        <f aca="false">PMT(A13/12,$B$6*12,-$B$4)</f>
        <v>483.320038235698</v>
      </c>
      <c r="F13" s="4" t="s">
        <v>505</v>
      </c>
    </row>
    <row r="14" customFormat="false" ht="15" hidden="false" customHeight="false" outlineLevel="0" collapsed="false">
      <c r="A14" s="43" t="n">
        <v>0.07</v>
      </c>
      <c r="B14" s="50"/>
      <c r="D14" s="53" t="n">
        <f aca="false">PMT(A14/12,$B$6*12,-$B$4)</f>
        <v>495.029963508738</v>
      </c>
      <c r="F14" s="2" t="s">
        <v>506</v>
      </c>
    </row>
    <row r="15" customFormat="false" ht="15" hidden="false" customHeight="false" outlineLevel="0" collapsed="false">
      <c r="A15" s="43" t="n">
        <v>0.08</v>
      </c>
      <c r="B15" s="50"/>
      <c r="D15" s="53" t="n">
        <f aca="false">PMT(A15/12,$B$6*12,-$B$4)</f>
        <v>506.909857210342</v>
      </c>
    </row>
    <row r="18" customFormat="false" ht="15" hidden="false" customHeight="false" outlineLevel="0" collapsed="false">
      <c r="A18" s="3" t="s">
        <v>507</v>
      </c>
      <c r="F18" s="3" t="s">
        <v>477</v>
      </c>
    </row>
    <row r="19" customFormat="false" ht="15" hidden="false" customHeight="false" outlineLevel="0" collapsed="false">
      <c r="A19" s="44" t="n">
        <f aca="false">B7</f>
        <v>483.320038235698</v>
      </c>
      <c r="B19" s="8" t="n">
        <v>3</v>
      </c>
      <c r="C19" s="8" t="n">
        <v>4</v>
      </c>
      <c r="D19" s="8" t="n">
        <v>5</v>
      </c>
      <c r="F19" s="24" t="n">
        <f aca="false">B19</f>
        <v>3</v>
      </c>
      <c r="G19" s="24" t="n">
        <f aca="false">C19</f>
        <v>4</v>
      </c>
      <c r="H19" s="24" t="n">
        <f aca="false">D19</f>
        <v>5</v>
      </c>
    </row>
    <row r="20" customFormat="false" ht="15" hidden="false" customHeight="false" outlineLevel="0" collapsed="false">
      <c r="A20" s="43" t="n">
        <v>0.04</v>
      </c>
      <c r="B20" s="50"/>
      <c r="C20" s="50"/>
      <c r="D20" s="50"/>
      <c r="F20" s="53" t="n">
        <f aca="false">PMT($A20/12,F$19*12,-$B$4)</f>
        <v>738.099625171092</v>
      </c>
      <c r="G20" s="53" t="n">
        <f aca="false">PMT($A20/12,G$19*12,-$B$4)</f>
        <v>564.476366042249</v>
      </c>
      <c r="H20" s="53" t="n">
        <f aca="false">PMT($A20/12,H$19*12,-$B$4)</f>
        <v>460.413051381659</v>
      </c>
    </row>
    <row r="21" customFormat="false" ht="15" hidden="false" customHeight="false" outlineLevel="0" collapsed="false">
      <c r="A21" s="43" t="n">
        <v>0.05</v>
      </c>
      <c r="B21" s="50"/>
      <c r="C21" s="50"/>
      <c r="D21" s="50"/>
      <c r="F21" s="53" t="n">
        <f aca="false">PMT($A21/12,F$19*12,-$B$4)</f>
        <v>749.272427616637</v>
      </c>
      <c r="G21" s="53" t="n">
        <f aca="false">PMT($A21/12,G$19*12,-$B$4)</f>
        <v>575.732339266163</v>
      </c>
      <c r="H21" s="53" t="n">
        <f aca="false">PMT($A21/12,H$19*12,-$B$4)</f>
        <v>471.780841100273</v>
      </c>
    </row>
    <row r="22" customFormat="false" ht="15" hidden="false" customHeight="false" outlineLevel="0" collapsed="false">
      <c r="A22" s="43" t="n">
        <v>0.06</v>
      </c>
      <c r="B22" s="50"/>
      <c r="C22" s="50"/>
      <c r="D22" s="50"/>
      <c r="F22" s="53" t="n">
        <f aca="false">PMT($A22/12,F$19*12,-$B$4)</f>
        <v>760.548436288878</v>
      </c>
      <c r="G22" s="53" t="n">
        <f aca="false">PMT($A22/12,G$19*12,-$B$4)</f>
        <v>587.125726198391</v>
      </c>
      <c r="H22" s="53" t="n">
        <f aca="false">PMT($A22/12,H$19*12,-$B$4)</f>
        <v>483.320038235698</v>
      </c>
    </row>
    <row r="23" customFormat="false" ht="15" hidden="false" customHeight="false" outlineLevel="0" collapsed="false">
      <c r="A23" s="43" t="n">
        <v>0.07</v>
      </c>
      <c r="B23" s="50"/>
      <c r="C23" s="50"/>
      <c r="D23" s="50"/>
      <c r="F23" s="53" t="n">
        <f aca="false">PMT($A23/12,F$19*12,-$B$4)</f>
        <v>771.927421634299</v>
      </c>
      <c r="G23" s="53" t="n">
        <f aca="false">PMT($A23/12,G$19*12,-$B$4)</f>
        <v>598.656116561073</v>
      </c>
      <c r="H23" s="53" t="n">
        <f aca="false">PMT($A23/12,H$19*12,-$B$4)</f>
        <v>495.029963508738</v>
      </c>
    </row>
    <row r="24" customFormat="false" ht="15" hidden="false" customHeight="false" outlineLevel="0" collapsed="false">
      <c r="A24" s="43" t="n">
        <v>0.08</v>
      </c>
      <c r="B24" s="50"/>
      <c r="C24" s="50"/>
      <c r="D24" s="50"/>
      <c r="F24" s="53" t="n">
        <f aca="false">PMT($A24/12,F$19*12,-$B$4)</f>
        <v>783.409136535771</v>
      </c>
      <c r="G24" s="53" t="n">
        <f aca="false">PMT($A24/12,G$19*12,-$B$4)</f>
        <v>610.323058537562</v>
      </c>
      <c r="H24" s="53" t="n">
        <f aca="false">PMT($A24/12,H$19*12,-$B$4)</f>
        <v>506.909857210342</v>
      </c>
    </row>
    <row r="27" customFormat="false" ht="15" hidden="false" customHeight="false" outlineLevel="0" collapsed="false">
      <c r="A27" s="3" t="s">
        <v>508</v>
      </c>
    </row>
    <row r="28" customFormat="false" ht="15" hidden="false" customHeight="false" outlineLevel="0" collapsed="false">
      <c r="A28" s="4" t="s">
        <v>509</v>
      </c>
    </row>
    <row r="29" customFormat="false" ht="15" hidden="false" customHeight="false" outlineLevel="0" collapsed="false">
      <c r="A29" s="4" t="s">
        <v>510</v>
      </c>
    </row>
    <row r="30" customFormat="false" ht="15" hidden="false" customHeight="false" outlineLevel="0" collapsed="false">
      <c r="A30" s="4" t="s">
        <v>511</v>
      </c>
    </row>
    <row r="31" customFormat="false" ht="15" hidden="false" customHeight="false" outlineLevel="0" collapsed="false">
      <c r="A31" s="4" t="s">
        <v>512</v>
      </c>
    </row>
    <row r="32" customFormat="false" ht="15" hidden="false" customHeight="false" outlineLevel="0" collapsed="false">
      <c r="A32" s="4" t="s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514</v>
      </c>
    </row>
    <row r="4" customFormat="false" ht="15" hidden="false" customHeight="false" outlineLevel="0" collapsed="false">
      <c r="A4" s="4" t="s">
        <v>306</v>
      </c>
      <c r="B4" s="36" t="n">
        <v>1000</v>
      </c>
      <c r="D4" s="5" t="s">
        <v>515</v>
      </c>
      <c r="E4" s="5" t="s">
        <v>70</v>
      </c>
      <c r="F4" s="5" t="s">
        <v>482</v>
      </c>
      <c r="G4" s="5" t="s">
        <v>483</v>
      </c>
      <c r="H4" s="5" t="s">
        <v>516</v>
      </c>
    </row>
    <row r="5" customFormat="false" ht="15" hidden="false" customHeight="false" outlineLevel="0" collapsed="false">
      <c r="A5" s="4" t="s">
        <v>482</v>
      </c>
      <c r="B5" s="10" t="n">
        <v>50</v>
      </c>
      <c r="D5" s="4" t="s">
        <v>517</v>
      </c>
      <c r="E5" s="36" t="n">
        <v>1200</v>
      </c>
      <c r="F5" s="10" t="n">
        <v>52</v>
      </c>
      <c r="G5" s="10" t="n">
        <v>28</v>
      </c>
      <c r="H5" s="54" t="n">
        <f aca="false">E5*(F5-G5)-$B$7</f>
        <v>13800</v>
      </c>
    </row>
    <row r="6" customFormat="false" ht="15" hidden="false" customHeight="false" outlineLevel="0" collapsed="false">
      <c r="A6" s="4" t="s">
        <v>483</v>
      </c>
      <c r="B6" s="10" t="n">
        <v>30</v>
      </c>
      <c r="D6" s="4" t="s">
        <v>518</v>
      </c>
      <c r="E6" s="36" t="n">
        <v>1000</v>
      </c>
      <c r="F6" s="10" t="n">
        <v>50</v>
      </c>
      <c r="G6" s="10" t="n">
        <v>30</v>
      </c>
      <c r="H6" s="54" t="n">
        <f aca="false">E6*(F6-G6)-$B$7</f>
        <v>5000</v>
      </c>
    </row>
    <row r="7" customFormat="false" ht="15" hidden="false" customHeight="false" outlineLevel="0" collapsed="false">
      <c r="A7" s="4" t="s">
        <v>519</v>
      </c>
      <c r="B7" s="10" t="n">
        <v>15000</v>
      </c>
      <c r="D7" s="4" t="s">
        <v>520</v>
      </c>
      <c r="E7" s="36" t="n">
        <v>800</v>
      </c>
      <c r="F7" s="10" t="n">
        <v>48</v>
      </c>
      <c r="G7" s="10" t="n">
        <v>32</v>
      </c>
      <c r="H7" s="54" t="n">
        <f aca="false">E7*(F7-G7)-$B$7</f>
        <v>-2200</v>
      </c>
    </row>
    <row r="9" customFormat="false" ht="15" hidden="false" customHeight="false" outlineLevel="0" collapsed="false">
      <c r="A9" s="4" t="s">
        <v>72</v>
      </c>
      <c r="B9" s="9" t="n">
        <f aca="false">B4*B5</f>
        <v>50000</v>
      </c>
    </row>
    <row r="10" customFormat="false" ht="15" hidden="false" customHeight="false" outlineLevel="0" collapsed="false">
      <c r="A10" s="4" t="s">
        <v>488</v>
      </c>
      <c r="B10" s="9" t="n">
        <f aca="false">B7+B4*B6</f>
        <v>45000</v>
      </c>
    </row>
    <row r="11" customFormat="false" ht="15" hidden="false" customHeight="false" outlineLevel="0" collapsed="false">
      <c r="A11" s="3" t="s">
        <v>299</v>
      </c>
      <c r="B11" s="55" t="n">
        <f aca="false">B9-B10</f>
        <v>5000</v>
      </c>
    </row>
    <row r="14" customFormat="false" ht="15" hidden="false" customHeight="false" outlineLevel="0" collapsed="false">
      <c r="A14" s="3" t="s">
        <v>521</v>
      </c>
    </row>
    <row r="15" customFormat="false" ht="15" hidden="false" customHeight="false" outlineLevel="0" collapsed="false">
      <c r="A15" s="4" t="s">
        <v>522</v>
      </c>
    </row>
    <row r="16" customFormat="false" ht="15" hidden="false" customHeight="false" outlineLevel="0" collapsed="false">
      <c r="A16" s="4" t="s">
        <v>523</v>
      </c>
    </row>
    <row r="17" customFormat="false" ht="15" hidden="false" customHeight="false" outlineLevel="0" collapsed="false">
      <c r="A17" s="4" t="s">
        <v>524</v>
      </c>
    </row>
    <row r="18" customFormat="false" ht="15" hidden="false" customHeight="false" outlineLevel="0" collapsed="false">
      <c r="A18" s="4" t="s">
        <v>525</v>
      </c>
    </row>
    <row r="19" customFormat="false" ht="15" hidden="false" customHeight="false" outlineLevel="0" collapsed="false">
      <c r="A19" s="4" t="s">
        <v>526</v>
      </c>
    </row>
    <row r="20" customFormat="false" ht="15" hidden="false" customHeight="false" outlineLevel="0" collapsed="false">
      <c r="A20" s="4" t="s">
        <v>527</v>
      </c>
    </row>
    <row r="22" customFormat="false" ht="15" hidden="false" customHeight="false" outlineLevel="0" collapsed="false">
      <c r="A22" s="3" t="s">
        <v>528</v>
      </c>
    </row>
    <row r="23" customFormat="false" ht="15" hidden="false" customHeight="false" outlineLevel="0" collapsed="false">
      <c r="A23" s="4" t="s">
        <v>529</v>
      </c>
    </row>
    <row r="24" customFormat="false" ht="15" hidden="false" customHeight="false" outlineLevel="0" collapsed="false">
      <c r="A24" s="4" t="s">
        <v>530</v>
      </c>
    </row>
    <row r="25" customFormat="false" ht="15" hidden="false" customHeight="false" outlineLevel="0" collapsed="false">
      <c r="A25" s="4" t="s">
        <v>531</v>
      </c>
    </row>
    <row r="26" customFormat="false" ht="15" hidden="false" customHeight="false" outlineLevel="0" collapsed="false">
      <c r="A26" s="24" t="s">
        <v>532</v>
      </c>
      <c r="B26" s="56" t="n">
        <f aca="false">B7/(F6-G6)</f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3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" t="s">
        <v>533</v>
      </c>
    </row>
    <row r="2" customFormat="false" ht="15" hidden="false" customHeight="false" outlineLevel="0" collapsed="false">
      <c r="A2" s="2" t="s">
        <v>534</v>
      </c>
    </row>
    <row r="4" customFormat="false" ht="15" hidden="false" customHeight="false" outlineLevel="0" collapsed="false">
      <c r="A4" s="3" t="s">
        <v>535</v>
      </c>
      <c r="C4" s="5" t="s">
        <v>536</v>
      </c>
      <c r="D4" s="5" t="s">
        <v>72</v>
      </c>
    </row>
    <row r="5" customFormat="false" ht="15" hidden="false" customHeight="false" outlineLevel="0" collapsed="false">
      <c r="A5" s="4" t="s">
        <v>537</v>
      </c>
      <c r="C5" s="4" t="n">
        <v>1</v>
      </c>
      <c r="D5" s="12" t="n">
        <f aca="false">Data!H5</f>
        <v>3600</v>
      </c>
    </row>
    <row r="6" customFormat="false" ht="15" hidden="false" customHeight="false" outlineLevel="0" collapsed="false">
      <c r="A6" s="4" t="s">
        <v>538</v>
      </c>
      <c r="C6" s="4" t="n">
        <v>2</v>
      </c>
      <c r="D6" s="12" t="n">
        <f aca="false">Data!H6</f>
        <v>2500</v>
      </c>
    </row>
    <row r="7" customFormat="false" ht="15" hidden="false" customHeight="false" outlineLevel="0" collapsed="false">
      <c r="A7" s="4" t="s">
        <v>539</v>
      </c>
      <c r="C7" s="4" t="n">
        <v>3</v>
      </c>
      <c r="D7" s="12" t="n">
        <f aca="false">Data!H7</f>
        <v>1000</v>
      </c>
    </row>
    <row r="8" customFormat="false" ht="15" hidden="false" customHeight="false" outlineLevel="0" collapsed="false">
      <c r="A8" s="4" t="s">
        <v>540</v>
      </c>
      <c r="C8" s="4" t="n">
        <v>4</v>
      </c>
      <c r="D8" s="12" t="n">
        <f aca="false">Data!H8</f>
        <v>1000</v>
      </c>
    </row>
    <row r="9" customFormat="false" ht="15" hidden="false" customHeight="false" outlineLevel="0" collapsed="false">
      <c r="A9" s="4" t="s">
        <v>541</v>
      </c>
      <c r="C9" s="4" t="n">
        <v>5</v>
      </c>
      <c r="D9" s="12" t="n">
        <f aca="false">Data!H9</f>
        <v>1800</v>
      </c>
    </row>
    <row r="10" customFormat="false" ht="15" hidden="false" customHeight="false" outlineLevel="0" collapsed="false">
      <c r="A10" s="4" t="s">
        <v>542</v>
      </c>
    </row>
    <row r="12" customFormat="false" ht="15" hidden="false" customHeight="false" outlineLevel="0" collapsed="false">
      <c r="A12" s="3" t="s">
        <v>543</v>
      </c>
    </row>
    <row r="13" customFormat="false" ht="15" hidden="false" customHeight="false" outlineLevel="0" collapsed="false">
      <c r="A13" s="4" t="s">
        <v>544</v>
      </c>
    </row>
    <row r="14" customFormat="false" ht="15" hidden="false" customHeight="false" outlineLevel="0" collapsed="false">
      <c r="A14" s="57" t="s">
        <v>545</v>
      </c>
    </row>
    <row r="15" customFormat="false" ht="15" hidden="false" customHeight="false" outlineLevel="0" collapsed="false">
      <c r="A15" s="57" t="s">
        <v>546</v>
      </c>
    </row>
    <row r="16" customFormat="false" ht="15" hidden="false" customHeight="false" outlineLevel="0" collapsed="false">
      <c r="A16" s="57" t="s">
        <v>547</v>
      </c>
    </row>
    <row r="17" customFormat="false" ht="15" hidden="false" customHeight="false" outlineLevel="0" collapsed="false">
      <c r="A17" s="57" t="s">
        <v>548</v>
      </c>
    </row>
    <row r="18" customFormat="false" ht="15" hidden="false" customHeight="false" outlineLevel="0" collapsed="false">
      <c r="A18" s="57" t="s">
        <v>549</v>
      </c>
    </row>
    <row r="19" customFormat="false" ht="15" hidden="false" customHeight="false" outlineLevel="0" collapsed="false">
      <c r="A19" s="57" t="s">
        <v>550</v>
      </c>
    </row>
    <row r="20" customFormat="false" ht="15" hidden="false" customHeight="false" outlineLevel="0" collapsed="false">
      <c r="A20" s="57" t="s">
        <v>551</v>
      </c>
    </row>
    <row r="21" customFormat="false" ht="15" hidden="false" customHeight="false" outlineLevel="0" collapsed="false">
      <c r="A21" s="57" t="s">
        <v>552</v>
      </c>
    </row>
    <row r="22" customFormat="false" ht="15" hidden="false" customHeight="false" outlineLevel="0" collapsed="false">
      <c r="A22" s="57" t="s">
        <v>553</v>
      </c>
    </row>
    <row r="23" customFormat="false" ht="15" hidden="false" customHeight="false" outlineLevel="0" collapsed="false">
      <c r="A23" s="57"/>
    </row>
    <row r="24" customFormat="false" ht="15" hidden="false" customHeight="false" outlineLevel="0" collapsed="false">
      <c r="A24" s="57" t="s">
        <v>554</v>
      </c>
    </row>
    <row r="25" customFormat="false" ht="15" hidden="false" customHeight="false" outlineLevel="0" collapsed="false">
      <c r="A25" s="57" t="s">
        <v>555</v>
      </c>
    </row>
    <row r="26" customFormat="false" ht="15" hidden="false" customHeight="false" outlineLevel="0" collapsed="false">
      <c r="A26" s="57" t="s">
        <v>556</v>
      </c>
    </row>
    <row r="27" customFormat="false" ht="15" hidden="false" customHeight="false" outlineLevel="0" collapsed="false">
      <c r="A27" s="57" t="s">
        <v>557</v>
      </c>
    </row>
    <row r="28" customFormat="false" ht="15" hidden="false" customHeight="false" outlineLevel="0" collapsed="false">
      <c r="A28" s="57" t="s">
        <v>553</v>
      </c>
    </row>
    <row r="29" customFormat="false" ht="15" hidden="false" customHeight="false" outlineLevel="0" collapsed="false">
      <c r="A29" s="57"/>
    </row>
    <row r="30" customFormat="false" ht="15" hidden="false" customHeight="false" outlineLevel="0" collapsed="false">
      <c r="A30" s="57" t="s">
        <v>558</v>
      </c>
    </row>
    <row r="31" customFormat="false" ht="15" hidden="false" customHeight="false" outlineLevel="0" collapsed="false">
      <c r="A31" s="57" t="s">
        <v>559</v>
      </c>
    </row>
    <row r="32" customFormat="false" ht="15" hidden="false" customHeight="false" outlineLevel="0" collapsed="false">
      <c r="A32" s="57" t="s">
        <v>560</v>
      </c>
    </row>
    <row r="33" customFormat="false" ht="15" hidden="false" customHeight="false" outlineLevel="0" collapsed="false">
      <c r="A33" s="57" t="s">
        <v>561</v>
      </c>
    </row>
    <row r="34" customFormat="false" ht="15" hidden="false" customHeight="false" outlineLevel="0" collapsed="false">
      <c r="A34" s="57" t="s">
        <v>562</v>
      </c>
    </row>
    <row r="35" customFormat="false" ht="15" hidden="false" customHeight="false" outlineLevel="0" collapsed="false">
      <c r="A35" s="57" t="s">
        <v>563</v>
      </c>
    </row>
    <row r="36" customFormat="false" ht="15" hidden="false" customHeight="false" outlineLevel="0" collapsed="false">
      <c r="A36" s="57" t="s">
        <v>553</v>
      </c>
    </row>
    <row r="38" customFormat="false" ht="15" hidden="false" customHeight="false" outlineLevel="0" collapsed="false">
      <c r="A38" s="3" t="s">
        <v>564</v>
      </c>
    </row>
    <row r="39" customFormat="false" ht="15" hidden="false" customHeight="false" outlineLevel="0" collapsed="false">
      <c r="A39" s="4" t="s">
        <v>565</v>
      </c>
    </row>
    <row r="40" customFormat="false" ht="15" hidden="false" customHeight="false" outlineLevel="0" collapsed="false">
      <c r="A40" s="4" t="s">
        <v>566</v>
      </c>
    </row>
    <row r="41" customFormat="false" ht="15" hidden="false" customHeight="false" outlineLevel="0" collapsed="false">
      <c r="A41" s="4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2026-10-08T23:39:53Z</dcterms:created>
  <dc:creator>openpyxl</dc:creator>
  <dc:description/>
  <dc:language>en-US</dc:language>
  <cp:lastModifiedBy/>
  <dcterms:modified xsi:type="dcterms:W3CDTF">2026-10-08T18:39:55Z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